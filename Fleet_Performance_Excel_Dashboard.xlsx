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JOSEPH DELMON/Power BI Module end project- Fleet Performance and Delivery Efficiency Dashboard/"/>
    </mc:Choice>
  </mc:AlternateContent>
  <xr:revisionPtr revIDLastSave="0" documentId="8_{3C6B00DE-D01B-4B3F-8B46-1AA37B8618CF}" xr6:coauthVersionLast="47" xr6:coauthVersionMax="47" xr10:uidLastSave="{00000000-0000-0000-0000-000000000000}"/>
  <bookViews>
    <workbookView xWindow="-110" yWindow="-110" windowWidth="19420" windowHeight="10300" tabRatio="662" activeTab="7" xr2:uid="{00000000-000D-0000-FFFF-FFFF00000000}"/>
  </bookViews>
  <sheets>
    <sheet name="Trip_Data " sheetId="8" r:id="rId1"/>
    <sheet name="Vehicle_Master " sheetId="9" r:id="rId2"/>
    <sheet name="README" sheetId="1" r:id="rId3"/>
    <sheet name="Dashboard" sheetId="2" r:id="rId4"/>
    <sheet name="Analysis" sheetId="3" r:id="rId5"/>
    <sheet name="Trip_Data" sheetId="4" r:id="rId6"/>
    <sheet name="Vehicle_Master" sheetId="5" r:id="rId7"/>
    <sheet name="Assumptions" sheetId="6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6" l="1"/>
  <c r="P51" i="4"/>
  <c r="M51" i="4"/>
  <c r="O51" i="4" s="1"/>
  <c r="L51" i="4"/>
  <c r="K51" i="4"/>
  <c r="J51" i="4"/>
  <c r="N51" i="4" s="1"/>
  <c r="P50" i="4"/>
  <c r="M50" i="4"/>
  <c r="O50" i="4" s="1"/>
  <c r="L50" i="4"/>
  <c r="K50" i="4"/>
  <c r="J50" i="4"/>
  <c r="N50" i="4" s="1"/>
  <c r="P49" i="4"/>
  <c r="M49" i="4"/>
  <c r="O49" i="4" s="1"/>
  <c r="L49" i="4"/>
  <c r="K49" i="4"/>
  <c r="J49" i="4"/>
  <c r="N49" i="4" s="1"/>
  <c r="P48" i="4"/>
  <c r="O48" i="4"/>
  <c r="M48" i="4"/>
  <c r="L48" i="4"/>
  <c r="K48" i="4"/>
  <c r="J48" i="4"/>
  <c r="N48" i="4" s="1"/>
  <c r="P47" i="4"/>
  <c r="O47" i="4"/>
  <c r="N47" i="4"/>
  <c r="M47" i="4"/>
  <c r="L47" i="4"/>
  <c r="K47" i="4"/>
  <c r="J47" i="4"/>
  <c r="P46" i="4"/>
  <c r="N46" i="4"/>
  <c r="M46" i="4"/>
  <c r="O46" i="4" s="1"/>
  <c r="L46" i="4"/>
  <c r="K46" i="4"/>
  <c r="J46" i="4"/>
  <c r="P45" i="4"/>
  <c r="N45" i="4"/>
  <c r="M45" i="4"/>
  <c r="O45" i="4" s="1"/>
  <c r="L45" i="4"/>
  <c r="K45" i="4"/>
  <c r="J45" i="4"/>
  <c r="P44" i="4"/>
  <c r="N44" i="4"/>
  <c r="M44" i="4"/>
  <c r="O44" i="4" s="1"/>
  <c r="L44" i="4"/>
  <c r="K44" i="4"/>
  <c r="J44" i="4"/>
  <c r="P43" i="4"/>
  <c r="M43" i="4"/>
  <c r="O43" i="4" s="1"/>
  <c r="L43" i="4"/>
  <c r="K43" i="4"/>
  <c r="J43" i="4"/>
  <c r="N43" i="4" s="1"/>
  <c r="P42" i="4"/>
  <c r="M42" i="4"/>
  <c r="O42" i="4" s="1"/>
  <c r="L42" i="4"/>
  <c r="K42" i="4"/>
  <c r="J42" i="4"/>
  <c r="N42" i="4" s="1"/>
  <c r="P41" i="4"/>
  <c r="M41" i="4"/>
  <c r="O41" i="4" s="1"/>
  <c r="L41" i="4"/>
  <c r="K41" i="4"/>
  <c r="J41" i="4"/>
  <c r="N41" i="4" s="1"/>
  <c r="P40" i="4"/>
  <c r="O40" i="4"/>
  <c r="M40" i="4"/>
  <c r="L40" i="4"/>
  <c r="K40" i="4"/>
  <c r="J40" i="4"/>
  <c r="N40" i="4" s="1"/>
  <c r="P39" i="4"/>
  <c r="O39" i="4"/>
  <c r="N39" i="4"/>
  <c r="M39" i="4"/>
  <c r="L39" i="4"/>
  <c r="K39" i="4"/>
  <c r="J39" i="4"/>
  <c r="P38" i="4"/>
  <c r="N38" i="4"/>
  <c r="M38" i="4"/>
  <c r="O38" i="4" s="1"/>
  <c r="L38" i="4"/>
  <c r="K38" i="4"/>
  <c r="J38" i="4"/>
  <c r="P37" i="4"/>
  <c r="N37" i="4"/>
  <c r="M37" i="4"/>
  <c r="O37" i="4" s="1"/>
  <c r="L37" i="4"/>
  <c r="K37" i="4"/>
  <c r="J37" i="4"/>
  <c r="P36" i="4"/>
  <c r="N36" i="4"/>
  <c r="M36" i="4"/>
  <c r="O36" i="4" s="1"/>
  <c r="L36" i="4"/>
  <c r="K36" i="4"/>
  <c r="J36" i="4"/>
  <c r="P35" i="4"/>
  <c r="M35" i="4"/>
  <c r="O35" i="4" s="1"/>
  <c r="L35" i="4"/>
  <c r="K35" i="4"/>
  <c r="J35" i="4"/>
  <c r="N35" i="4" s="1"/>
  <c r="P34" i="4"/>
  <c r="M34" i="4"/>
  <c r="O34" i="4" s="1"/>
  <c r="L34" i="4"/>
  <c r="K34" i="4"/>
  <c r="J34" i="4"/>
  <c r="N34" i="4" s="1"/>
  <c r="P33" i="4"/>
  <c r="M33" i="4"/>
  <c r="O33" i="4" s="1"/>
  <c r="L33" i="4"/>
  <c r="K33" i="4"/>
  <c r="J33" i="4"/>
  <c r="N33" i="4" s="1"/>
  <c r="P32" i="4"/>
  <c r="O32" i="4"/>
  <c r="M32" i="4"/>
  <c r="L32" i="4"/>
  <c r="K32" i="4"/>
  <c r="J32" i="4"/>
  <c r="N32" i="4" s="1"/>
  <c r="P31" i="4"/>
  <c r="O31" i="4"/>
  <c r="N31" i="4"/>
  <c r="M31" i="4"/>
  <c r="L31" i="4"/>
  <c r="K31" i="4"/>
  <c r="J31" i="4"/>
  <c r="P30" i="4"/>
  <c r="N30" i="4"/>
  <c r="M30" i="4"/>
  <c r="O30" i="4" s="1"/>
  <c r="L30" i="4"/>
  <c r="K30" i="4"/>
  <c r="J30" i="4"/>
  <c r="P29" i="4"/>
  <c r="N29" i="4"/>
  <c r="M29" i="4"/>
  <c r="O29" i="4" s="1"/>
  <c r="L29" i="4"/>
  <c r="K29" i="4"/>
  <c r="J29" i="4"/>
  <c r="P28" i="4"/>
  <c r="N28" i="4"/>
  <c r="M28" i="4"/>
  <c r="O28" i="4" s="1"/>
  <c r="L28" i="4"/>
  <c r="K28" i="4"/>
  <c r="J28" i="4"/>
  <c r="P27" i="4"/>
  <c r="M27" i="4"/>
  <c r="O27" i="4" s="1"/>
  <c r="L27" i="4"/>
  <c r="K27" i="4"/>
  <c r="J27" i="4"/>
  <c r="N27" i="4" s="1"/>
  <c r="P26" i="4"/>
  <c r="M26" i="4"/>
  <c r="O26" i="4" s="1"/>
  <c r="L26" i="4"/>
  <c r="K26" i="4"/>
  <c r="J26" i="4"/>
  <c r="N26" i="4" s="1"/>
  <c r="P25" i="4"/>
  <c r="M25" i="4"/>
  <c r="O25" i="4" s="1"/>
  <c r="L25" i="4"/>
  <c r="K25" i="4"/>
  <c r="J25" i="4"/>
  <c r="N25" i="4" s="1"/>
  <c r="P24" i="4"/>
  <c r="O24" i="4"/>
  <c r="M24" i="4"/>
  <c r="L24" i="4"/>
  <c r="K24" i="4"/>
  <c r="J24" i="4"/>
  <c r="N24" i="4" s="1"/>
  <c r="P23" i="4"/>
  <c r="O23" i="4"/>
  <c r="N23" i="4"/>
  <c r="M23" i="4"/>
  <c r="L23" i="4"/>
  <c r="K23" i="4"/>
  <c r="J23" i="4"/>
  <c r="P22" i="4"/>
  <c r="N22" i="4"/>
  <c r="M22" i="4"/>
  <c r="O22" i="4" s="1"/>
  <c r="L22" i="4"/>
  <c r="K22" i="4"/>
  <c r="J22" i="4"/>
  <c r="P21" i="4"/>
  <c r="N21" i="4"/>
  <c r="M21" i="4"/>
  <c r="O21" i="4" s="1"/>
  <c r="L21" i="4"/>
  <c r="K21" i="4"/>
  <c r="J21" i="4"/>
  <c r="P20" i="4"/>
  <c r="N20" i="4"/>
  <c r="M20" i="4"/>
  <c r="O20" i="4" s="1"/>
  <c r="L20" i="4"/>
  <c r="K20" i="4"/>
  <c r="J20" i="4"/>
  <c r="P19" i="4"/>
  <c r="M19" i="4"/>
  <c r="O19" i="4" s="1"/>
  <c r="L19" i="4"/>
  <c r="K19" i="4"/>
  <c r="J19" i="4"/>
  <c r="N19" i="4" s="1"/>
  <c r="P18" i="4"/>
  <c r="M18" i="4"/>
  <c r="O18" i="4" s="1"/>
  <c r="L18" i="4"/>
  <c r="K18" i="4"/>
  <c r="J18" i="4"/>
  <c r="N18" i="4" s="1"/>
  <c r="P17" i="4"/>
  <c r="M17" i="4"/>
  <c r="O17" i="4" s="1"/>
  <c r="L17" i="4"/>
  <c r="K17" i="4"/>
  <c r="J17" i="4"/>
  <c r="N17" i="4" s="1"/>
  <c r="P16" i="4"/>
  <c r="O16" i="4"/>
  <c r="M16" i="4"/>
  <c r="L16" i="4"/>
  <c r="K16" i="4"/>
  <c r="J16" i="4"/>
  <c r="N16" i="4" s="1"/>
  <c r="P15" i="4"/>
  <c r="O15" i="4"/>
  <c r="N15" i="4"/>
  <c r="M15" i="4"/>
  <c r="L15" i="4"/>
  <c r="K15" i="4"/>
  <c r="J15" i="4"/>
  <c r="P14" i="4"/>
  <c r="N14" i="4"/>
  <c r="M14" i="4"/>
  <c r="O14" i="4" s="1"/>
  <c r="L14" i="4"/>
  <c r="K14" i="4"/>
  <c r="J14" i="4"/>
  <c r="P13" i="4"/>
  <c r="N13" i="4"/>
  <c r="M13" i="4"/>
  <c r="O13" i="4" s="1"/>
  <c r="L13" i="4"/>
  <c r="K13" i="4"/>
  <c r="J13" i="4"/>
  <c r="P12" i="4"/>
  <c r="N12" i="4"/>
  <c r="M12" i="4"/>
  <c r="O12" i="4" s="1"/>
  <c r="L12" i="4"/>
  <c r="K12" i="4"/>
  <c r="J12" i="4"/>
  <c r="P11" i="4"/>
  <c r="M11" i="4"/>
  <c r="O11" i="4" s="1"/>
  <c r="L11" i="4"/>
  <c r="K11" i="4"/>
  <c r="J11" i="4"/>
  <c r="J26" i="3" s="1"/>
  <c r="K26" i="3" s="1"/>
  <c r="P10" i="4"/>
  <c r="M10" i="4"/>
  <c r="O10" i="4" s="1"/>
  <c r="L10" i="4"/>
  <c r="K10" i="4"/>
  <c r="J10" i="4"/>
  <c r="N10" i="4" s="1"/>
  <c r="P9" i="4"/>
  <c r="B5" i="3" s="1"/>
  <c r="B6" i="3" s="1"/>
  <c r="A5" i="2" s="1"/>
  <c r="M9" i="4"/>
  <c r="O9" i="4" s="1"/>
  <c r="L9" i="4"/>
  <c r="K9" i="4"/>
  <c r="J9" i="4"/>
  <c r="N9" i="4" s="1"/>
  <c r="P8" i="4"/>
  <c r="O8" i="4"/>
  <c r="M8" i="4"/>
  <c r="L8" i="4"/>
  <c r="K8" i="4"/>
  <c r="J8" i="4"/>
  <c r="N8" i="4" s="1"/>
  <c r="P7" i="4"/>
  <c r="O7" i="4"/>
  <c r="N7" i="4"/>
  <c r="M7" i="4"/>
  <c r="L7" i="4"/>
  <c r="K7" i="4"/>
  <c r="J7" i="4"/>
  <c r="P6" i="4"/>
  <c r="N6" i="4"/>
  <c r="M6" i="4"/>
  <c r="O6" i="4" s="1"/>
  <c r="L6" i="4"/>
  <c r="K6" i="4"/>
  <c r="J6" i="4"/>
  <c r="P5" i="4"/>
  <c r="N5" i="4"/>
  <c r="M5" i="4"/>
  <c r="O5" i="4" s="1"/>
  <c r="L5" i="4"/>
  <c r="B25" i="3" s="1"/>
  <c r="E25" i="3" s="1"/>
  <c r="K5" i="4"/>
  <c r="J5" i="4"/>
  <c r="P4" i="4"/>
  <c r="M4" i="4"/>
  <c r="O4" i="4" s="1"/>
  <c r="L4" i="4"/>
  <c r="K4" i="4"/>
  <c r="J4" i="4"/>
  <c r="N4" i="4" s="1"/>
  <c r="P3" i="4"/>
  <c r="M3" i="4"/>
  <c r="O3" i="4" s="1"/>
  <c r="L3" i="4"/>
  <c r="K3" i="4"/>
  <c r="J3" i="4"/>
  <c r="J40" i="3" s="1"/>
  <c r="K40" i="3" s="1"/>
  <c r="P2" i="4"/>
  <c r="M2" i="4"/>
  <c r="O2" i="4" s="1"/>
  <c r="L2" i="4"/>
  <c r="K2" i="4"/>
  <c r="J2" i="4"/>
  <c r="N2" i="4" s="1"/>
  <c r="F45" i="3"/>
  <c r="E45" i="3"/>
  <c r="D45" i="3"/>
  <c r="J44" i="3"/>
  <c r="I44" i="3"/>
  <c r="K44" i="3" s="1"/>
  <c r="E44" i="3"/>
  <c r="D44" i="3"/>
  <c r="F44" i="3" s="1"/>
  <c r="J43" i="3"/>
  <c r="I43" i="3"/>
  <c r="K43" i="3" s="1"/>
  <c r="E43" i="3"/>
  <c r="D43" i="3"/>
  <c r="F43" i="3" s="1"/>
  <c r="J42" i="3"/>
  <c r="I42" i="3"/>
  <c r="K42" i="3" s="1"/>
  <c r="E42" i="3"/>
  <c r="D42" i="3"/>
  <c r="F42" i="3" s="1"/>
  <c r="K41" i="3"/>
  <c r="J41" i="3"/>
  <c r="I41" i="3"/>
  <c r="I40" i="3"/>
  <c r="K39" i="3"/>
  <c r="J39" i="3"/>
  <c r="I39" i="3"/>
  <c r="J38" i="3"/>
  <c r="I38" i="3"/>
  <c r="K38" i="3" s="1"/>
  <c r="C38" i="3"/>
  <c r="D38" i="3" s="1"/>
  <c r="B38" i="3"/>
  <c r="J37" i="3"/>
  <c r="I37" i="3"/>
  <c r="K37" i="3" s="1"/>
  <c r="C37" i="3"/>
  <c r="D37" i="3" s="1"/>
  <c r="B37" i="3"/>
  <c r="J36" i="3"/>
  <c r="I36" i="3"/>
  <c r="K36" i="3" s="1"/>
  <c r="D36" i="3"/>
  <c r="C36" i="3"/>
  <c r="B36" i="3"/>
  <c r="K35" i="3"/>
  <c r="J35" i="3"/>
  <c r="I35" i="3"/>
  <c r="D35" i="3"/>
  <c r="C35" i="3"/>
  <c r="B35" i="3"/>
  <c r="J34" i="3"/>
  <c r="I34" i="3"/>
  <c r="K34" i="3" s="1"/>
  <c r="C34" i="3"/>
  <c r="D34" i="3" s="1"/>
  <c r="B34" i="3"/>
  <c r="J33" i="3"/>
  <c r="K33" i="3" s="1"/>
  <c r="I33" i="3"/>
  <c r="C33" i="3"/>
  <c r="D33" i="3" s="1"/>
  <c r="B33" i="3"/>
  <c r="J32" i="3"/>
  <c r="I32" i="3"/>
  <c r="K32" i="3" s="1"/>
  <c r="D32" i="3"/>
  <c r="C32" i="3"/>
  <c r="B32" i="3"/>
  <c r="K31" i="3"/>
  <c r="J31" i="3"/>
  <c r="I31" i="3"/>
  <c r="D31" i="3"/>
  <c r="C31" i="3"/>
  <c r="B31" i="3"/>
  <c r="J30" i="3"/>
  <c r="I30" i="3"/>
  <c r="K30" i="3" s="1"/>
  <c r="C30" i="3"/>
  <c r="D30" i="3" s="1"/>
  <c r="B30" i="3"/>
  <c r="J29" i="3"/>
  <c r="K29" i="3" s="1"/>
  <c r="I29" i="3"/>
  <c r="C29" i="3"/>
  <c r="D29" i="3" s="1"/>
  <c r="B29" i="3"/>
  <c r="J28" i="3"/>
  <c r="I28" i="3"/>
  <c r="K28" i="3" s="1"/>
  <c r="K27" i="3"/>
  <c r="J27" i="3"/>
  <c r="I27" i="3"/>
  <c r="I26" i="3"/>
  <c r="K25" i="3"/>
  <c r="J25" i="3"/>
  <c r="I25" i="3"/>
  <c r="D25" i="3"/>
  <c r="J24" i="3"/>
  <c r="I24" i="3"/>
  <c r="K24" i="3" s="1"/>
  <c r="D24" i="3"/>
  <c r="B24" i="3"/>
  <c r="E24" i="3" s="1"/>
  <c r="J23" i="3"/>
  <c r="I23" i="3"/>
  <c r="K23" i="3" s="1"/>
  <c r="D23" i="3"/>
  <c r="K22" i="3"/>
  <c r="J22" i="3"/>
  <c r="I22" i="3"/>
  <c r="K21" i="3"/>
  <c r="J21" i="3"/>
  <c r="I21" i="3"/>
  <c r="J20" i="3"/>
  <c r="I20" i="3"/>
  <c r="K20" i="3" s="1"/>
  <c r="J19" i="3"/>
  <c r="I19" i="3"/>
  <c r="K19" i="3" s="1"/>
  <c r="C19" i="3"/>
  <c r="D19" i="3" s="1"/>
  <c r="B19" i="3"/>
  <c r="J18" i="3"/>
  <c r="K18" i="3" s="1"/>
  <c r="I18" i="3"/>
  <c r="C18" i="3"/>
  <c r="D18" i="3" s="1"/>
  <c r="B18" i="3"/>
  <c r="K17" i="3"/>
  <c r="J17" i="3"/>
  <c r="I17" i="3"/>
  <c r="D17" i="3"/>
  <c r="C17" i="3"/>
  <c r="B17" i="3"/>
  <c r="I16" i="3"/>
  <c r="C16" i="3"/>
  <c r="B16" i="3"/>
  <c r="D16" i="3" s="1"/>
  <c r="J15" i="3"/>
  <c r="I15" i="3"/>
  <c r="K15" i="3" s="1"/>
  <c r="C15" i="3"/>
  <c r="D15" i="3" s="1"/>
  <c r="B15" i="3"/>
  <c r="J14" i="3"/>
  <c r="I14" i="3"/>
  <c r="K14" i="3" s="1"/>
  <c r="C14" i="3"/>
  <c r="D14" i="3" s="1"/>
  <c r="B14" i="3"/>
  <c r="K13" i="3"/>
  <c r="J13" i="3"/>
  <c r="I13" i="3"/>
  <c r="D13" i="3"/>
  <c r="C13" i="3"/>
  <c r="B13" i="3"/>
  <c r="K12" i="3"/>
  <c r="J12" i="3"/>
  <c r="I12" i="3"/>
  <c r="J11" i="3"/>
  <c r="I11" i="3"/>
  <c r="K11" i="3" s="1"/>
  <c r="J6" i="3"/>
  <c r="B4" i="3"/>
  <c r="J5" i="2"/>
  <c r="C24" i="3" l="1"/>
  <c r="B8" i="3"/>
  <c r="G5" i="2" s="1"/>
  <c r="C23" i="3"/>
  <c r="C25" i="3"/>
  <c r="B23" i="3"/>
  <c r="E23" i="3" s="1"/>
  <c r="J5" i="3"/>
  <c r="J16" i="3"/>
  <c r="K16" i="3" s="1"/>
  <c r="N3" i="4"/>
  <c r="N11" i="4"/>
  <c r="B7" i="3"/>
  <c r="D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Original column. Blank cells highlighted yellow are the 3 missing values; the cleaned values are in column J.</t>
        </r>
      </text>
    </comment>
  </commentList>
</comments>
</file>

<file path=xl/sharedStrings.xml><?xml version="1.0" encoding="utf-8"?>
<sst xmlns="http://schemas.openxmlformats.org/spreadsheetml/2006/main" count="775" uniqueCount="174">
  <si>
    <t>Fleet Performance &amp; Delivery Efficiency - Excel Workbook</t>
  </si>
  <si>
    <t>Sheets</t>
  </si>
  <si>
    <t>Trip_Data</t>
  </si>
  <si>
    <t>Original 9 columns (untouched) + 7 calculated columns (J-P). Yellow cells in column G are the 3 missing fuel values (T016, T026, T044).</t>
  </si>
  <si>
    <t>Vehicle_Master</t>
  </si>
  <si>
    <t>The 7 vehicles: type, capacity, maintenance cost.</t>
  </si>
  <si>
    <t>Assumptions</t>
  </si>
  <si>
    <t>Mean fuel used for imputation (formula) and fuel cost per trip = 100 (input, yellow).</t>
  </si>
  <si>
    <t>Analysis</t>
  </si>
  <si>
    <t>KPIs and summary tables, all formulas. Includes manual checks of what might influence late deliveries.</t>
  </si>
  <si>
    <t>Dashboard</t>
  </si>
  <si>
    <t>KPI tiles and 4 charts.</t>
  </si>
  <si>
    <t>Cleaning done</t>
  </si>
  <si>
    <t>1</t>
  </si>
  <si>
    <t>Missing Fuel_Consumed_L replaced by the mean of the other 47 trips (91.88 L), in column J. Column G keeps the original.</t>
  </si>
  <si>
    <t>2</t>
  </si>
  <si>
    <t>Vehicle_ID checked: every trip matches a vehicle in Vehicle_Master. No duplicate Trip_IDs, no zero distances.</t>
  </si>
  <si>
    <t>3</t>
  </si>
  <si>
    <t>Vehicle_Type and Maintenance_Cost are looked up from Vehicle_Master using Vehicle_ID (the Excel version of the Power BI relationship).</t>
  </si>
  <si>
    <t>Formulas used</t>
  </si>
  <si>
    <t>Fuel Efficiency</t>
  </si>
  <si>
    <t>Distance / Fuel. Per trip in column N; overall = total km / total litres (Analysis B7).</t>
  </si>
  <si>
    <t>On-Time Delivery %</t>
  </si>
  <si>
    <t>On-Time trips / Total trips.</t>
  </si>
  <si>
    <t>Cost per km</t>
  </si>
  <si>
    <t>(Fuel cost 100 + Maintenance Cost) / Distance, per trip in column O; card = average of all trips.</t>
  </si>
  <si>
    <t>Assumptions and limits</t>
  </si>
  <si>
    <t>A</t>
  </si>
  <si>
    <t>Fuel cost = 100 is treated as a flat amount per trip. Change it on the Assumptions sheet.</t>
  </si>
  <si>
    <t>B</t>
  </si>
  <si>
    <t>C</t>
  </si>
  <si>
    <t>Only 50 trips: patterns in the late-delivery checks are indicative, not statistically strong.</t>
  </si>
  <si>
    <t>Fleet Performance &amp; Delivery Efficiency Dashboard</t>
  </si>
  <si>
    <t>Logistics trips, Jan-Feb 2023  |  50 trips, 7 vehicles, 10 drivers</t>
  </si>
  <si>
    <t>Fuel Efficiency (km/L)</t>
  </si>
  <si>
    <t>Average Cost per km</t>
  </si>
  <si>
    <t>Total Trips</t>
  </si>
  <si>
    <t>Avg. Delivery Time card: the dataset has no delivery-time column, so it is not shown. See README.</t>
  </si>
  <si>
    <t>KPI</t>
  </si>
  <si>
    <t>Value</t>
  </si>
  <si>
    <t>Fuel Efficiency by Month</t>
  </si>
  <si>
    <t>Month Start</t>
  </si>
  <si>
    <t>Month End</t>
  </si>
  <si>
    <t>On-Time Trips</t>
  </si>
  <si>
    <t>Fuel Efficiency (km/L) = total km / total litres</t>
  </si>
  <si>
    <t>Avg. Delivery Time</t>
  </si>
  <si>
    <t>Not in dataset (no time column) - ask mentor</t>
  </si>
  <si>
    <t>Fuel Efficiency Trend by Delivery Date</t>
  </si>
  <si>
    <t>Delivery Date</t>
  </si>
  <si>
    <t>Distance (km)</t>
  </si>
  <si>
    <t>Fuel (L)</t>
  </si>
  <si>
    <t>On-Time Delivery % by Destination</t>
  </si>
  <si>
    <t>Destination</t>
  </si>
  <si>
    <t>On-Time %</t>
  </si>
  <si>
    <t>Delhi</t>
  </si>
  <si>
    <t>Pune</t>
  </si>
  <si>
    <t>Bangalore</t>
  </si>
  <si>
    <t>Kolkata</t>
  </si>
  <si>
    <t>Hyderabad</t>
  </si>
  <si>
    <t>Chennai</t>
  </si>
  <si>
    <t>Mumbai</t>
  </si>
  <si>
    <t>Cost, Maintenance and Lateness by Vehicle Type</t>
  </si>
  <si>
    <t>Vehicle Type</t>
  </si>
  <si>
    <t>Trips</t>
  </si>
  <si>
    <t>Avg Cost per km</t>
  </si>
  <si>
    <t>Avg Maintenance Cost</t>
  </si>
  <si>
    <t>Late %</t>
  </si>
  <si>
    <t>Mini-Truck</t>
  </si>
  <si>
    <t>Van</t>
  </si>
  <si>
    <t>Truck</t>
  </si>
  <si>
    <t>Late % by Driver (manual "key influencer" check)</t>
  </si>
  <si>
    <t>Driver_ID</t>
  </si>
  <si>
    <t>Late Trips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</si>
  <si>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</si>
  <si>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</si>
  <si>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</si>
  <si>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</si>
  <si>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</si>
  <si>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</si>
  <si>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</si>
  <si>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</si>
  <si>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</si>
  <si>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</si>
  <si>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Late % by Distance Band (manual "key influencer" check)</t>
  </si>
  <si>
    <t>Band</t>
  </si>
  <si>
    <t>Min km</t>
  </si>
  <si>
    <t>Max km</t>
  </si>
  <si>
    <t>Under 500 km</t>
  </si>
  <si>
    <t>500-999 km</t>
  </si>
  <si>
    <t>1000-1499 km</t>
  </si>
  <si>
    <t>1500 km and above</t>
  </si>
  <si>
    <t>Trip_ID</t>
  </si>
  <si>
    <t>Vehicle_ID</t>
  </si>
  <si>
    <t>Origin</t>
  </si>
  <si>
    <t>Distance_km</t>
  </si>
  <si>
    <t>Fuel_Consumed_L</t>
  </si>
  <si>
    <t>Delivery_Status</t>
  </si>
  <si>
    <t>Delivery_Date</t>
  </si>
  <si>
    <t>Fuel_Clean_L</t>
  </si>
  <si>
    <t>Fuel_Imputed?</t>
  </si>
  <si>
    <t>Vehicle_Type</t>
  </si>
  <si>
    <t>Maintenance_Cost</t>
  </si>
  <si>
    <t>Fuel_Efficiency_km_per_L</t>
  </si>
  <si>
    <t>Cost_per_km</t>
  </si>
  <si>
    <t>On_Time_Flag</t>
  </si>
  <si>
    <t>T001</t>
  </si>
  <si>
    <t>V04</t>
  </si>
  <si>
    <t>On-Time</t>
  </si>
  <si>
    <t>T002</t>
  </si>
  <si>
    <t>V06</t>
  </si>
  <si>
    <t>T003</t>
  </si>
  <si>
    <t>T004</t>
  </si>
  <si>
    <t>T005</t>
  </si>
  <si>
    <t>T006</t>
  </si>
  <si>
    <t>Late</t>
  </si>
  <si>
    <t>T007</t>
  </si>
  <si>
    <t>V07</t>
  </si>
  <si>
    <t>T008</t>
  </si>
  <si>
    <t>V02</t>
  </si>
  <si>
    <t>T009</t>
  </si>
  <si>
    <t>T010</t>
  </si>
  <si>
    <t>T011</t>
  </si>
  <si>
    <t>T012</t>
  </si>
  <si>
    <t>T013</t>
  </si>
  <si>
    <t>V05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</si>
  <si>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</si>
  <si>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</si>
  <si>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</si>
  <si>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</si>
  <si>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</si>
  <si>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</si>
  <si>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</si>
  <si>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</si>
  <si>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</si>
  <si>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</si>
  <si>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</si>
  <si>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</si>
  <si>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</si>
  <si>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</si>
  <si>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</si>
  <si>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</si>
  <si>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</si>
  <si>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</si>
  <si>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</si>
  <si>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</si>
  <si>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</si>
  <si>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</si>
  <si>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</si>
  <si>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</si>
  <si>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</si>
  <si>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</si>
  <si>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</si>
  <si>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</si>
  <si>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</si>
  <si>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</si>
  <si>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</si>
  <si>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</si>
  <si>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</si>
  <si>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</si>
  <si>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</si>
  <si>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</si>
  <si>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</si>
  <si>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</si>
  <si>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</si>
  <si>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Capacity_kg</t>
  </si>
  <si>
    <t>Assumptions &amp; Inputs</t>
  </si>
  <si>
    <t>Item</t>
  </si>
  <si>
    <t>Note</t>
  </si>
  <si>
    <t>Mean Fuel_Consumed_L (for imputation)</t>
  </si>
  <si>
    <t>Average of the 47 trips that have fuel recorded (blanks ignored). Used to fill the 3 missing values.</t>
  </si>
  <si>
    <t>Fuel cost per trip</t>
  </si>
  <si>
    <t xml:space="preserve">Given in the assignment ("fuel cost = 100"). Treated as a flat 100 per trip. </t>
  </si>
  <si>
    <t xml:space="preserve">Avg. Delivery Time cannot be calculated: the dataset has no time or duration column. </t>
  </si>
  <si>
    <t xml:space="preserve">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</si>
</sst>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9" x14ac:knownFonts="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b/>
      <sz val="10"/>
      <color rgb="FF1F2A44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8"/>
      <color rgb="FF1F2A44"/>
      <name val="Arial"/>
      <charset val="1"/>
    </font>
    <font>
      <sz val="10"/>
      <color rgb="FF666666"/>
      <name val="Arial"/>
      <charset val="1"/>
    </font>
    <font>
      <b/>
      <sz val="9"/>
      <color rgb="FFFFFFFF"/>
      <name val="Arial"/>
      <charset val="1"/>
    </font>
    <font>
      <b/>
      <sz val="20"/>
      <color rgb="FF1F2A44"/>
      <name val="Arial"/>
      <charset val="1"/>
    </font>
    <font>
      <i/>
      <sz val="9"/>
      <color rgb="FF666666"/>
      <name val="Arial"/>
      <charset val="1"/>
    </font>
    <font>
      <b/>
      <sz val="14"/>
      <color rgb="FF1F2A4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8B8D"/>
        <bgColor rgb="FF008080"/>
      </patternFill>
    </fill>
    <fill>
      <patternFill patternType="solid">
        <fgColor rgb="FFEAF2F4"/>
        <bgColor rgb="FFF9F9F9"/>
      </patternFill>
    </fill>
    <fill>
      <patternFill patternType="solid">
        <fgColor rgb="FF1F2A44"/>
        <bgColor rgb="FF003366"/>
      </patternFill>
    </fill>
    <fill>
      <patternFill patternType="solid">
        <fgColor rgb="FFFFFF99"/>
        <bgColor rgb="FFF9F9F9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/>
  </cellStyleXfs>
  <cellXfs count="35">
    <xf numFmtId="0" fontId="0" fillId="0" borderId="0" xfId="0"/>
    <xf numFmtId="1" fontId="8" fillId="3" borderId="0" xfId="0" applyNumberFormat="1" applyFont="1" applyFill="1" applyBorder="1" applyAlignment="1">
      <alignment horizontal="center" vertical="center"/>
    </xf>
    <xf numFmtId="2" fontId="8" fillId="3" borderId="0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3" fillId="0" borderId="1" xfId="0" applyFont="1" applyBorder="1"/>
    <xf numFmtId="1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3" fontId="3" fillId="0" borderId="1" xfId="0" applyNumberFormat="1" applyFont="1" applyBorder="1"/>
    <xf numFmtId="0" fontId="13" fillId="0" borderId="1" xfId="0" applyFont="1" applyBorder="1"/>
    <xf numFmtId="0" fontId="14" fillId="0" borderId="1" xfId="0" applyFont="1" applyBorder="1"/>
    <xf numFmtId="0" fontId="3" fillId="5" borderId="1" xfId="0" applyFont="1" applyFill="1" applyBorder="1"/>
    <xf numFmtId="0" fontId="3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0" fillId="0" borderId="0" xfId="0" applyFont="1" applyAlignment="1">
      <alignment horizontal="center"/>
    </xf>
    <xf numFmtId="0" fontId="16" fillId="0" borderId="0" xfId="1"/>
    <xf numFmtId="14" fontId="17" fillId="0" borderId="0" xfId="1" applyNumberFormat="1" applyFont="1"/>
    <xf numFmtId="14" fontId="18" fillId="0" borderId="2" xfId="1" applyNumberFormat="1" applyFont="1" applyBorder="1" applyAlignment="1">
      <alignment horizontal="center" vertical="top"/>
    </xf>
    <xf numFmtId="0" fontId="18" fillId="0" borderId="2" xfId="1" applyFont="1" applyBorder="1" applyAlignment="1">
      <alignment horizontal="center" vertical="top"/>
    </xf>
  </cellXfs>
  <cellStyles count="2">
    <cellStyle name="Normal" xfId="0" builtinId="0"/>
    <cellStyle name="Normal 2" xfId="1" xr:uid="{E1537A24-DE9B-4406-9B06-033DB66F53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D9D9D9"/>
      <rgbColor rgb="FF878787"/>
      <rgbColor rgb="FF9999FF"/>
      <rgbColor rgb="FFC0504D"/>
      <rgbColor rgb="FFF9F9F9"/>
      <rgbColor rgb="FFEAF2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33"/>
      <color rgb="FF00CC99"/>
      <color rgb="FF339933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On-Time Delivery % by Destination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Analysis!$D$12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0F8B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Analysis!$A$13:$A$19</c:f>
              <c:strCache>
                <c:ptCount val="7"/>
                <c:pt idx="0">
                  <c:v>Delhi</c:v>
                </c:pt>
                <c:pt idx="1">
                  <c:v>Pune</c:v>
                </c:pt>
                <c:pt idx="2">
                  <c:v>Bangalore</c:v>
                </c:pt>
                <c:pt idx="3">
                  <c:v>Kolkata</c:v>
                </c:pt>
                <c:pt idx="4">
                  <c:v>Hyderabad</c:v>
                </c:pt>
                <c:pt idx="5">
                  <c:v>Chennai</c:v>
                </c:pt>
                <c:pt idx="6">
                  <c:v>Mumbai</c:v>
                </c:pt>
              </c:strCache>
            </c:strRef>
          </c:cat>
          <c:val>
            <c:numRef>
              <c:f>Analysis!$D$13:$D$19</c:f>
              <c:numCache>
                <c:formatCode>0.0%</c:formatCode>
                <c:ptCount val="7"/>
                <c:pt idx="0">
                  <c:v>0.875</c:v>
                </c:pt>
                <c:pt idx="1">
                  <c:v>0.875</c:v>
                </c:pt>
                <c:pt idx="2">
                  <c:v>0.625</c:v>
                </c:pt>
                <c:pt idx="3">
                  <c:v>0.5</c:v>
                </c:pt>
                <c:pt idx="4">
                  <c:v>0.5</c:v>
                </c:pt>
                <c:pt idx="5">
                  <c:v>0.4</c:v>
                </c:pt>
                <c:pt idx="6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0-4416-BA20-80D97AD5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19030"/>
        <c:axId val="98733698"/>
      </c:barChart>
      <c:catAx>
        <c:axId val="7261903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33698"/>
        <c:crosses val="autoZero"/>
        <c:auto val="1"/>
        <c:lblAlgn val="ctr"/>
        <c:lblOffset val="100"/>
        <c:noMultiLvlLbl val="0"/>
      </c:catAx>
      <c:valAx>
        <c:axId val="98733698"/>
        <c:scaling>
          <c:orientation val="minMax"/>
          <c:max val="1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190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Fuel Efficiency Trend by Delivery Date (km/L)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Analysis!$K$10</c:f>
              <c:strCache>
                <c:ptCount val="1"/>
                <c:pt idx="0">
                  <c:v>Fuel Efficiency (km/L)</c:v>
                </c:pt>
              </c:strCache>
            </c:strRef>
          </c:tx>
          <c:spPr>
            <a:ln w="4752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Analysis!$H$11:$H$44</c:f>
              <c:numCache>
                <c:formatCode>dd\-mmm\-yyyy</c:formatCode>
                <c:ptCount val="34"/>
                <c:pt idx="0">
                  <c:v>44927</c:v>
                </c:pt>
                <c:pt idx="1">
                  <c:v>44932</c:v>
                </c:pt>
                <c:pt idx="2">
                  <c:v>44937</c:v>
                </c:pt>
                <c:pt idx="3">
                  <c:v>44938</c:v>
                </c:pt>
                <c:pt idx="4">
                  <c:v>44942</c:v>
                </c:pt>
                <c:pt idx="5">
                  <c:v>44943</c:v>
                </c:pt>
                <c:pt idx="6">
                  <c:v>44944</c:v>
                </c:pt>
                <c:pt idx="7">
                  <c:v>44945</c:v>
                </c:pt>
                <c:pt idx="8">
                  <c:v>44947</c:v>
                </c:pt>
                <c:pt idx="9">
                  <c:v>44948</c:v>
                </c:pt>
                <c:pt idx="10">
                  <c:v>44950</c:v>
                </c:pt>
                <c:pt idx="11">
                  <c:v>44952</c:v>
                </c:pt>
                <c:pt idx="12">
                  <c:v>44953</c:v>
                </c:pt>
                <c:pt idx="13">
                  <c:v>44954</c:v>
                </c:pt>
                <c:pt idx="14">
                  <c:v>44955</c:v>
                </c:pt>
                <c:pt idx="15">
                  <c:v>44959</c:v>
                </c:pt>
                <c:pt idx="16">
                  <c:v>44960</c:v>
                </c:pt>
                <c:pt idx="17">
                  <c:v>44962</c:v>
                </c:pt>
                <c:pt idx="18">
                  <c:v>44963</c:v>
                </c:pt>
                <c:pt idx="19">
                  <c:v>44964</c:v>
                </c:pt>
                <c:pt idx="20">
                  <c:v>44967</c:v>
                </c:pt>
                <c:pt idx="21">
                  <c:v>44969</c:v>
                </c:pt>
                <c:pt idx="22">
                  <c:v>44970</c:v>
                </c:pt>
                <c:pt idx="23">
                  <c:v>44971</c:v>
                </c:pt>
                <c:pt idx="24">
                  <c:v>44972</c:v>
                </c:pt>
                <c:pt idx="25">
                  <c:v>44973</c:v>
                </c:pt>
                <c:pt idx="26">
                  <c:v>44974</c:v>
                </c:pt>
                <c:pt idx="27">
                  <c:v>44975</c:v>
                </c:pt>
                <c:pt idx="28">
                  <c:v>44977</c:v>
                </c:pt>
                <c:pt idx="29">
                  <c:v>44978</c:v>
                </c:pt>
                <c:pt idx="30">
                  <c:v>44980</c:v>
                </c:pt>
                <c:pt idx="31">
                  <c:v>44981</c:v>
                </c:pt>
                <c:pt idx="32">
                  <c:v>44982</c:v>
                </c:pt>
                <c:pt idx="33">
                  <c:v>44985</c:v>
                </c:pt>
              </c:numCache>
            </c:numRef>
          </c:cat>
          <c:val>
            <c:numRef>
              <c:f>Analysis!$K$11:$K$44</c:f>
              <c:numCache>
                <c:formatCode>0.00</c:formatCode>
                <c:ptCount val="34"/>
                <c:pt idx="0">
                  <c:v>14.122137404580153</c:v>
                </c:pt>
                <c:pt idx="1">
                  <c:v>11.143546135296356</c:v>
                </c:pt>
                <c:pt idx="2">
                  <c:v>14.429868819374368</c:v>
                </c:pt>
                <c:pt idx="3">
                  <c:v>8.9601923343658978</c:v>
                </c:pt>
                <c:pt idx="4">
                  <c:v>12.331163152268973</c:v>
                </c:pt>
                <c:pt idx="5">
                  <c:v>19.416000926247534</c:v>
                </c:pt>
                <c:pt idx="6">
                  <c:v>10.88838776500203</c:v>
                </c:pt>
                <c:pt idx="7">
                  <c:v>12.947658402203857</c:v>
                </c:pt>
                <c:pt idx="8">
                  <c:v>11.140353692589146</c:v>
                </c:pt>
                <c:pt idx="9">
                  <c:v>9.2857142857142847</c:v>
                </c:pt>
                <c:pt idx="10">
                  <c:v>12.407347728005156</c:v>
                </c:pt>
                <c:pt idx="11">
                  <c:v>12.903225806451614</c:v>
                </c:pt>
                <c:pt idx="12">
                  <c:v>10.819037078029883</c:v>
                </c:pt>
                <c:pt idx="13">
                  <c:v>12.529785544082605</c:v>
                </c:pt>
                <c:pt idx="14">
                  <c:v>13.702211416000923</c:v>
                </c:pt>
                <c:pt idx="15">
                  <c:v>10.029619037891941</c:v>
                </c:pt>
                <c:pt idx="16">
                  <c:v>12.796208530805687</c:v>
                </c:pt>
                <c:pt idx="17">
                  <c:v>9.0681248575985425</c:v>
                </c:pt>
                <c:pt idx="18">
                  <c:v>10.842237586423632</c:v>
                </c:pt>
                <c:pt idx="19">
                  <c:v>12.237762237762238</c:v>
                </c:pt>
                <c:pt idx="20">
                  <c:v>14.092378752886836</c:v>
                </c:pt>
                <c:pt idx="21">
                  <c:v>14.59479623239765</c:v>
                </c:pt>
                <c:pt idx="22">
                  <c:v>8.5312766158796247</c:v>
                </c:pt>
                <c:pt idx="23">
                  <c:v>14.239884093966678</c:v>
                </c:pt>
                <c:pt idx="24">
                  <c:v>13.522419677533247</c:v>
                </c:pt>
                <c:pt idx="25">
                  <c:v>14.356657122405153</c:v>
                </c:pt>
                <c:pt idx="26">
                  <c:v>9.089568743088833</c:v>
                </c:pt>
                <c:pt idx="27">
                  <c:v>10.247996466208114</c:v>
                </c:pt>
                <c:pt idx="28">
                  <c:v>12.587643868236539</c:v>
                </c:pt>
                <c:pt idx="29">
                  <c:v>10.704766627409656</c:v>
                </c:pt>
                <c:pt idx="30">
                  <c:v>11.467324290998768</c:v>
                </c:pt>
                <c:pt idx="31">
                  <c:v>9.2758985200845654</c:v>
                </c:pt>
                <c:pt idx="32">
                  <c:v>14.99294449670743</c:v>
                </c:pt>
                <c:pt idx="33">
                  <c:v>10.930676016485206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5-4BDD-B0B0-646EB437E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927478"/>
        <c:axId val="645632"/>
      </c:lineChart>
      <c:dateAx>
        <c:axId val="4192747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632"/>
        <c:crosses val="autoZero"/>
        <c:auto val="1"/>
        <c:lblOffset val="100"/>
        <c:baseTimeUnit val="days"/>
      </c:dateAx>
      <c:valAx>
        <c:axId val="645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274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Maintenance Cost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Analysis!$D$22</c:f>
              <c:strCache>
                <c:ptCount val="1"/>
                <c:pt idx="0">
                  <c:v>Avg Maintenance 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20-4209-A733-532D9F40A8A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20-4209-A733-532D9F40A8A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20-4209-A733-532D9F40A8A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720-4209-A733-532D9F40A8A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720-4209-A733-532D9F40A8A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720-4209-A733-532D9F40A8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Analysis!$A$23:$A$25</c:f>
              <c:strCache>
                <c:ptCount val="3"/>
                <c:pt idx="0">
                  <c:v>Mini-Truck</c:v>
                </c:pt>
                <c:pt idx="1">
                  <c:v>Van</c:v>
                </c:pt>
                <c:pt idx="2">
                  <c:v>Truck</c:v>
                </c:pt>
              </c:strCache>
            </c:strRef>
          </c:cat>
          <c:val>
            <c:numRef>
              <c:f>Analysis!$D$23:$D$25</c:f>
              <c:numCache>
                <c:formatCode>#,##0</c:formatCode>
                <c:ptCount val="3"/>
                <c:pt idx="0">
                  <c:v>9033</c:v>
                </c:pt>
                <c:pt idx="1">
                  <c:v>8128</c:v>
                </c:pt>
                <c:pt idx="2">
                  <c:v>14186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20-4209-A733-532D9F40A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Cost per km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Analysis!$C$22</c:f>
              <c:strCache>
                <c:ptCount val="1"/>
                <c:pt idx="0">
                  <c:v>Avg Cost per km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Analysis!$A$23:$A$25</c:f>
              <c:strCache>
                <c:ptCount val="3"/>
                <c:pt idx="0">
                  <c:v>Mini-Truck</c:v>
                </c:pt>
                <c:pt idx="1">
                  <c:v>Van</c:v>
                </c:pt>
                <c:pt idx="2">
                  <c:v>Truck</c:v>
                </c:pt>
              </c:strCache>
            </c:strRef>
          </c:cat>
          <c:val>
            <c:numRef>
              <c:f>Analysis!$C$23:$C$25</c:f>
              <c:numCache>
                <c:formatCode>0.00</c:formatCode>
                <c:ptCount val="3"/>
                <c:pt idx="0">
                  <c:v>8.4655158022780128</c:v>
                </c:pt>
                <c:pt idx="1">
                  <c:v>18.890421353799422</c:v>
                </c:pt>
                <c:pt idx="2">
                  <c:v>21.575256827081869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6-438F-BE4F-E398AC93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2324"/>
        <c:axId val="21271744"/>
      </c:barChart>
      <c:catAx>
        <c:axId val="21142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71744"/>
        <c:crosses val="autoZero"/>
        <c:auto val="1"/>
        <c:lblAlgn val="ctr"/>
        <c:lblOffset val="100"/>
        <c:noMultiLvlLbl val="0"/>
      </c:catAx>
      <c:valAx>
        <c:axId val="21271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42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101160</xdr:rowOff>
    </xdr:from>
    <xdr:to>
      <xdr:col>6</xdr:col>
      <xdr:colOff>27720</xdr:colOff>
      <xdr:row>20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</xdr:row>
      <xdr:rowOff>101160</xdr:rowOff>
    </xdr:from>
    <xdr:to>
      <xdr:col>12</xdr:col>
      <xdr:colOff>27360</xdr:colOff>
      <xdr:row>20</xdr:row>
      <xdr:rowOff>123120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101160</xdr:rowOff>
    </xdr:from>
    <xdr:to>
      <xdr:col>6</xdr:col>
      <xdr:colOff>27720</xdr:colOff>
      <xdr:row>37</xdr:row>
      <xdr:rowOff>123120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22</xdr:row>
      <xdr:rowOff>101160</xdr:rowOff>
    </xdr:from>
    <xdr:to>
      <xdr:col>12</xdr:col>
      <xdr:colOff>27360</xdr:colOff>
      <xdr:row>37</xdr:row>
      <xdr:rowOff>123120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6F11-2F61-4865-88DD-F9D288FC5DE8}">
  <sheetPr>
    <tabColor rgb="FFFF0000"/>
  </sheetPr>
  <dimension ref="A1:I1000"/>
  <sheetViews>
    <sheetView topLeftCell="D1" workbookViewId="0">
      <selection activeCell="B7" sqref="B7"/>
    </sheetView>
  </sheetViews>
  <sheetFormatPr defaultColWidth="14.453125" defaultRowHeight="15" customHeight="1" x14ac:dyDescent="0.35"/>
  <cols>
    <col min="1" max="1" width="15.81640625" style="31" customWidth="1"/>
    <col min="2" max="2" width="17.08984375" style="31" customWidth="1"/>
    <col min="3" max="3" width="8.7265625" style="31" customWidth="1"/>
    <col min="4" max="4" width="32.54296875" style="31" customWidth="1"/>
    <col min="5" max="5" width="29.26953125" style="31" customWidth="1"/>
    <col min="6" max="6" width="20.7265625" style="31" customWidth="1"/>
    <col min="7" max="7" width="33.26953125" style="31" customWidth="1"/>
    <col min="8" max="8" width="25.7265625" style="31" customWidth="1"/>
    <col min="9" max="9" width="23.7265625" style="31" customWidth="1"/>
    <col min="10" max="26" width="8.7265625" style="31" customWidth="1"/>
    <col min="27" max="16384" width="14.453125" style="31"/>
  </cols>
  <sheetData>
    <row r="1" spans="1:9" ht="14.25" customHeight="1" x14ac:dyDescent="0.35">
      <c r="A1" s="34" t="s">
        <v>91</v>
      </c>
      <c r="B1" s="34" t="s">
        <v>92</v>
      </c>
      <c r="C1" s="34" t="s">
        <v>71</v>
      </c>
      <c r="D1" s="34" t="s">
        <v>93</v>
      </c>
      <c r="E1" s="34" t="s">
        <v>52</v>
      </c>
      <c r="F1" s="34" t="s">
        <v>94</v>
      </c>
      <c r="G1" s="34" t="s">
        <v>95</v>
      </c>
      <c r="H1" s="34" t="s">
        <v>96</v>
      </c>
      <c r="I1" s="33" t="s">
        <v>97</v>
      </c>
    </row>
    <row r="2" spans="1:9" ht="14.25" customHeight="1" x14ac:dyDescent="0.35">
      <c r="A2" s="31" t="s">
        <v>105</v>
      </c>
      <c r="B2" s="31" t="s">
        <v>106</v>
      </c>
      <c r="C2" s="31" t="s">
        <v>73</v>
      </c>
      <c r="D2" s="31" t="s">
        <v>54</v>
      </c>
      <c r="E2" s="31" t="s">
        <v>55</v>
      </c>
      <c r="F2" s="31">
        <v>1173</v>
      </c>
      <c r="G2" s="31">
        <v>108.42</v>
      </c>
      <c r="H2" s="31" t="s">
        <v>107</v>
      </c>
      <c r="I2" s="32">
        <v>44953</v>
      </c>
    </row>
    <row r="3" spans="1:9" ht="14.25" customHeight="1" x14ac:dyDescent="0.35">
      <c r="A3" s="31" t="s">
        <v>108</v>
      </c>
      <c r="B3" s="31" t="s">
        <v>109</v>
      </c>
      <c r="C3" s="31" t="s">
        <v>80</v>
      </c>
      <c r="D3" s="31" t="s">
        <v>60</v>
      </c>
      <c r="E3" s="31" t="s">
        <v>56</v>
      </c>
      <c r="F3" s="31">
        <v>1727</v>
      </c>
      <c r="G3" s="31">
        <v>161.33000000000001</v>
      </c>
      <c r="H3" s="31" t="s">
        <v>107</v>
      </c>
      <c r="I3" s="32">
        <v>44978</v>
      </c>
    </row>
    <row r="4" spans="1:9" ht="14.25" customHeight="1" x14ac:dyDescent="0.35">
      <c r="A4" s="31" t="s">
        <v>110</v>
      </c>
      <c r="B4" s="31" t="s">
        <v>109</v>
      </c>
      <c r="C4" s="31" t="s">
        <v>80</v>
      </c>
      <c r="D4" s="31" t="s">
        <v>60</v>
      </c>
      <c r="E4" s="31" t="s">
        <v>55</v>
      </c>
      <c r="F4" s="31">
        <v>1459</v>
      </c>
      <c r="G4" s="31">
        <v>154.69999999999999</v>
      </c>
      <c r="H4" s="31" t="s">
        <v>107</v>
      </c>
      <c r="I4" s="32">
        <v>44974</v>
      </c>
    </row>
    <row r="5" spans="1:9" ht="14.25" customHeight="1" x14ac:dyDescent="0.35">
      <c r="A5" s="31" t="s">
        <v>111</v>
      </c>
      <c r="B5" s="31" t="s">
        <v>106</v>
      </c>
      <c r="C5" s="31" t="s">
        <v>81</v>
      </c>
      <c r="D5" s="31" t="s">
        <v>58</v>
      </c>
      <c r="E5" s="31" t="s">
        <v>55</v>
      </c>
      <c r="F5" s="31">
        <v>382</v>
      </c>
      <c r="G5" s="31">
        <v>26.6</v>
      </c>
      <c r="H5" s="31" t="s">
        <v>107</v>
      </c>
      <c r="I5" s="32">
        <v>44975</v>
      </c>
    </row>
    <row r="6" spans="1:9" ht="14.25" customHeight="1" x14ac:dyDescent="0.35">
      <c r="A6" s="31" t="s">
        <v>112</v>
      </c>
      <c r="B6" s="31" t="s">
        <v>109</v>
      </c>
      <c r="C6" s="31" t="s">
        <v>80</v>
      </c>
      <c r="D6" s="31" t="s">
        <v>55</v>
      </c>
      <c r="E6" s="31" t="s">
        <v>60</v>
      </c>
      <c r="F6" s="31">
        <v>398</v>
      </c>
      <c r="G6" s="31">
        <v>33.200000000000003</v>
      </c>
      <c r="H6" s="31" t="s">
        <v>107</v>
      </c>
      <c r="I6" s="32">
        <v>44972</v>
      </c>
    </row>
    <row r="7" spans="1:9" ht="14.25" customHeight="1" x14ac:dyDescent="0.35">
      <c r="A7" s="31" t="s">
        <v>113</v>
      </c>
      <c r="B7" s="31" t="s">
        <v>109</v>
      </c>
      <c r="C7" s="31" t="s">
        <v>79</v>
      </c>
      <c r="D7" s="31" t="s">
        <v>59</v>
      </c>
      <c r="E7" s="31" t="s">
        <v>60</v>
      </c>
      <c r="F7" s="31">
        <v>1275</v>
      </c>
      <c r="G7" s="31">
        <v>85.04</v>
      </c>
      <c r="H7" s="31" t="s">
        <v>114</v>
      </c>
      <c r="I7" s="32">
        <v>44982</v>
      </c>
    </row>
    <row r="8" spans="1:9" ht="14.25" customHeight="1" x14ac:dyDescent="0.35">
      <c r="A8" s="31" t="s">
        <v>115</v>
      </c>
      <c r="B8" s="31" t="s">
        <v>116</v>
      </c>
      <c r="C8" s="31" t="s">
        <v>75</v>
      </c>
      <c r="D8" s="31" t="s">
        <v>59</v>
      </c>
      <c r="E8" s="31" t="s">
        <v>57</v>
      </c>
      <c r="F8" s="31">
        <v>752</v>
      </c>
      <c r="G8" s="31">
        <v>58.08</v>
      </c>
      <c r="H8" s="31" t="s">
        <v>107</v>
      </c>
      <c r="I8" s="32">
        <v>44945</v>
      </c>
    </row>
    <row r="9" spans="1:9" ht="14.25" customHeight="1" x14ac:dyDescent="0.35">
      <c r="A9" s="31" t="s">
        <v>117</v>
      </c>
      <c r="B9" s="31" t="s">
        <v>118</v>
      </c>
      <c r="C9" s="31" t="s">
        <v>82</v>
      </c>
      <c r="D9" s="31" t="s">
        <v>54</v>
      </c>
      <c r="E9" s="31" t="s">
        <v>55</v>
      </c>
      <c r="F9" s="31">
        <v>74</v>
      </c>
      <c r="G9" s="31">
        <v>5.24</v>
      </c>
      <c r="H9" s="31" t="s">
        <v>107</v>
      </c>
      <c r="I9" s="32">
        <v>44927</v>
      </c>
    </row>
    <row r="10" spans="1:9" ht="14.25" customHeight="1" x14ac:dyDescent="0.35">
      <c r="A10" s="31" t="s">
        <v>119</v>
      </c>
      <c r="B10" s="31" t="s">
        <v>118</v>
      </c>
      <c r="C10" s="31" t="s">
        <v>79</v>
      </c>
      <c r="D10" s="31" t="s">
        <v>54</v>
      </c>
      <c r="E10" s="31" t="s">
        <v>58</v>
      </c>
      <c r="F10" s="31">
        <v>186</v>
      </c>
      <c r="G10" s="31">
        <v>16.22</v>
      </c>
      <c r="H10" s="31" t="s">
        <v>107</v>
      </c>
      <c r="I10" s="32">
        <v>44980</v>
      </c>
    </row>
    <row r="11" spans="1:9" ht="14.25" customHeight="1" x14ac:dyDescent="0.35">
      <c r="A11" s="31" t="s">
        <v>120</v>
      </c>
      <c r="B11" s="31" t="s">
        <v>118</v>
      </c>
      <c r="C11" s="31" t="s">
        <v>74</v>
      </c>
      <c r="D11" s="31" t="s">
        <v>56</v>
      </c>
      <c r="E11" s="31" t="s">
        <v>58</v>
      </c>
      <c r="F11" s="31">
        <v>1375</v>
      </c>
      <c r="G11" s="31">
        <v>105.21</v>
      </c>
      <c r="H11" s="31" t="s">
        <v>114</v>
      </c>
      <c r="I11" s="32">
        <v>44959</v>
      </c>
    </row>
    <row r="12" spans="1:9" ht="14.25" customHeight="1" x14ac:dyDescent="0.35">
      <c r="A12" s="31" t="s">
        <v>121</v>
      </c>
      <c r="B12" s="31" t="s">
        <v>109</v>
      </c>
      <c r="C12" s="31" t="s">
        <v>75</v>
      </c>
      <c r="D12" s="31" t="s">
        <v>57</v>
      </c>
      <c r="E12" s="31" t="s">
        <v>58</v>
      </c>
      <c r="F12" s="31">
        <v>419</v>
      </c>
      <c r="G12" s="31">
        <v>31.17</v>
      </c>
      <c r="H12" s="31" t="s">
        <v>107</v>
      </c>
      <c r="I12" s="32">
        <v>44947</v>
      </c>
    </row>
    <row r="13" spans="1:9" ht="14.25" customHeight="1" x14ac:dyDescent="0.35">
      <c r="A13" s="31" t="s">
        <v>122</v>
      </c>
      <c r="B13" s="31" t="s">
        <v>109</v>
      </c>
      <c r="C13" s="31" t="s">
        <v>73</v>
      </c>
      <c r="D13" s="31" t="s">
        <v>57</v>
      </c>
      <c r="E13" s="31" t="s">
        <v>54</v>
      </c>
      <c r="F13" s="31">
        <v>751</v>
      </c>
      <c r="G13" s="31">
        <v>51.77</v>
      </c>
      <c r="H13" s="31" t="s">
        <v>107</v>
      </c>
      <c r="I13" s="32">
        <v>44972</v>
      </c>
    </row>
    <row r="14" spans="1:9" ht="14.25" customHeight="1" x14ac:dyDescent="0.35">
      <c r="A14" s="31" t="s">
        <v>123</v>
      </c>
      <c r="B14" s="31" t="s">
        <v>124</v>
      </c>
      <c r="C14" s="31" t="s">
        <v>76</v>
      </c>
      <c r="D14" s="31" t="s">
        <v>57</v>
      </c>
      <c r="E14" s="31" t="s">
        <v>59</v>
      </c>
      <c r="F14" s="31">
        <v>1571</v>
      </c>
      <c r="G14" s="31">
        <v>188.52</v>
      </c>
      <c r="H14" s="31" t="s">
        <v>114</v>
      </c>
      <c r="I14" s="32">
        <v>44959</v>
      </c>
    </row>
    <row r="15" spans="1:9" ht="14.25" customHeight="1" x14ac:dyDescent="0.35">
      <c r="A15" s="31" t="s">
        <v>125</v>
      </c>
      <c r="B15" s="31" t="s">
        <v>124</v>
      </c>
      <c r="C15" s="31" t="s">
        <v>77</v>
      </c>
      <c r="D15" s="31" t="s">
        <v>58</v>
      </c>
      <c r="E15" s="31" t="s">
        <v>56</v>
      </c>
      <c r="F15" s="31">
        <v>1524</v>
      </c>
      <c r="G15" s="31">
        <v>104.51</v>
      </c>
      <c r="H15" s="31" t="s">
        <v>107</v>
      </c>
      <c r="I15" s="32">
        <v>44973</v>
      </c>
    </row>
    <row r="16" spans="1:9" ht="14.25" customHeight="1" x14ac:dyDescent="0.35">
      <c r="A16" s="31" t="s">
        <v>126</v>
      </c>
      <c r="B16" s="31" t="s">
        <v>124</v>
      </c>
      <c r="C16" s="31" t="s">
        <v>78</v>
      </c>
      <c r="D16" s="31" t="s">
        <v>57</v>
      </c>
      <c r="E16" s="31" t="s">
        <v>60</v>
      </c>
      <c r="F16" s="31">
        <v>1956</v>
      </c>
      <c r="G16" s="31">
        <v>179.88</v>
      </c>
      <c r="H16" s="31" t="s">
        <v>107</v>
      </c>
      <c r="I16" s="32">
        <v>44947</v>
      </c>
    </row>
    <row r="17" spans="1:9" ht="14.25" customHeight="1" x14ac:dyDescent="0.35">
      <c r="A17" s="31" t="s">
        <v>127</v>
      </c>
      <c r="B17" s="31" t="s">
        <v>124</v>
      </c>
      <c r="C17" s="31" t="s">
        <v>78</v>
      </c>
      <c r="D17" s="31" t="s">
        <v>56</v>
      </c>
      <c r="E17" s="31" t="s">
        <v>60</v>
      </c>
      <c r="F17" s="31">
        <v>858</v>
      </c>
      <c r="H17" s="31" t="s">
        <v>114</v>
      </c>
      <c r="I17" s="32">
        <v>44944</v>
      </c>
    </row>
    <row r="18" spans="1:9" ht="14.25" customHeight="1" x14ac:dyDescent="0.35">
      <c r="A18" s="31" t="s">
        <v>128</v>
      </c>
      <c r="B18" s="31" t="s">
        <v>116</v>
      </c>
      <c r="C18" s="31" t="s">
        <v>79</v>
      </c>
      <c r="D18" s="31" t="s">
        <v>55</v>
      </c>
      <c r="E18" s="31" t="s">
        <v>57</v>
      </c>
      <c r="F18" s="31">
        <v>1269</v>
      </c>
      <c r="G18" s="31">
        <v>102.91</v>
      </c>
      <c r="H18" s="31" t="s">
        <v>107</v>
      </c>
      <c r="I18" s="32">
        <v>44942</v>
      </c>
    </row>
    <row r="19" spans="1:9" ht="14.25" customHeight="1" x14ac:dyDescent="0.35">
      <c r="A19" s="31" t="s">
        <v>129</v>
      </c>
      <c r="B19" s="31" t="s">
        <v>116</v>
      </c>
      <c r="C19" s="31" t="s">
        <v>82</v>
      </c>
      <c r="D19" s="31" t="s">
        <v>55</v>
      </c>
      <c r="E19" s="31" t="s">
        <v>54</v>
      </c>
      <c r="F19" s="31">
        <v>1565</v>
      </c>
      <c r="G19" s="31">
        <v>107.23</v>
      </c>
      <c r="H19" s="31" t="s">
        <v>107</v>
      </c>
      <c r="I19" s="32">
        <v>44969</v>
      </c>
    </row>
    <row r="20" spans="1:9" ht="14.25" customHeight="1" x14ac:dyDescent="0.35">
      <c r="A20" s="31" t="s">
        <v>130</v>
      </c>
      <c r="B20" s="31" t="s">
        <v>116</v>
      </c>
      <c r="C20" s="31" t="s">
        <v>82</v>
      </c>
      <c r="D20" s="31" t="s">
        <v>58</v>
      </c>
      <c r="E20" s="31" t="s">
        <v>55</v>
      </c>
      <c r="F20" s="31">
        <v>1796</v>
      </c>
      <c r="G20" s="31">
        <v>155.52000000000001</v>
      </c>
      <c r="H20" s="31" t="s">
        <v>107</v>
      </c>
      <c r="I20" s="32">
        <v>44985</v>
      </c>
    </row>
    <row r="21" spans="1:9" ht="14.25" customHeight="1" x14ac:dyDescent="0.35">
      <c r="A21" s="31" t="s">
        <v>131</v>
      </c>
      <c r="B21" s="31" t="s">
        <v>106</v>
      </c>
      <c r="C21" s="31" t="s">
        <v>74</v>
      </c>
      <c r="D21" s="31" t="s">
        <v>60</v>
      </c>
      <c r="E21" s="31" t="s">
        <v>56</v>
      </c>
      <c r="F21" s="31">
        <v>1640</v>
      </c>
      <c r="G21" s="31">
        <v>148.87</v>
      </c>
      <c r="H21" s="31" t="s">
        <v>107</v>
      </c>
      <c r="I21" s="32">
        <v>44932</v>
      </c>
    </row>
    <row r="22" spans="1:9" ht="14.25" customHeight="1" x14ac:dyDescent="0.35">
      <c r="A22" s="31" t="s">
        <v>132</v>
      </c>
      <c r="B22" s="31" t="s">
        <v>116</v>
      </c>
      <c r="C22" s="31" t="s">
        <v>79</v>
      </c>
      <c r="D22" s="31" t="s">
        <v>54</v>
      </c>
      <c r="E22" s="31" t="s">
        <v>60</v>
      </c>
      <c r="F22" s="31">
        <v>446</v>
      </c>
      <c r="G22" s="31">
        <v>31.98</v>
      </c>
      <c r="H22" s="31" t="s">
        <v>114</v>
      </c>
      <c r="I22" s="32">
        <v>44937</v>
      </c>
    </row>
    <row r="23" spans="1:9" ht="14.25" customHeight="1" x14ac:dyDescent="0.35">
      <c r="A23" s="31" t="s">
        <v>133</v>
      </c>
      <c r="B23" s="31" t="s">
        <v>116</v>
      </c>
      <c r="C23" s="31" t="s">
        <v>81</v>
      </c>
      <c r="D23" s="31" t="s">
        <v>58</v>
      </c>
      <c r="E23" s="31" t="s">
        <v>54</v>
      </c>
      <c r="F23" s="31">
        <v>140</v>
      </c>
      <c r="G23" s="31">
        <v>11.44</v>
      </c>
      <c r="H23" s="31" t="s">
        <v>107</v>
      </c>
      <c r="I23" s="32">
        <v>44964</v>
      </c>
    </row>
    <row r="24" spans="1:9" ht="14.25" customHeight="1" x14ac:dyDescent="0.35">
      <c r="A24" s="31" t="s">
        <v>134</v>
      </c>
      <c r="B24" s="31" t="s">
        <v>109</v>
      </c>
      <c r="C24" s="31" t="s">
        <v>76</v>
      </c>
      <c r="D24" s="31" t="s">
        <v>59</v>
      </c>
      <c r="E24" s="31" t="s">
        <v>54</v>
      </c>
      <c r="F24" s="31">
        <v>1729</v>
      </c>
      <c r="G24" s="31">
        <v>197.55</v>
      </c>
      <c r="H24" s="31" t="s">
        <v>107</v>
      </c>
      <c r="I24" s="32">
        <v>44963</v>
      </c>
    </row>
    <row r="25" spans="1:9" ht="14.25" customHeight="1" x14ac:dyDescent="0.35">
      <c r="A25" s="31" t="s">
        <v>135</v>
      </c>
      <c r="B25" s="31" t="s">
        <v>106</v>
      </c>
      <c r="C25" s="31" t="s">
        <v>73</v>
      </c>
      <c r="D25" s="31" t="s">
        <v>57</v>
      </c>
      <c r="E25" s="31" t="s">
        <v>60</v>
      </c>
      <c r="F25" s="31">
        <v>1376</v>
      </c>
      <c r="G25" s="31">
        <v>96.63</v>
      </c>
      <c r="H25" s="31" t="s">
        <v>107</v>
      </c>
      <c r="I25" s="32">
        <v>44971</v>
      </c>
    </row>
    <row r="26" spans="1:9" ht="14.25" customHeight="1" x14ac:dyDescent="0.35">
      <c r="A26" s="31" t="s">
        <v>136</v>
      </c>
      <c r="B26" s="31" t="s">
        <v>106</v>
      </c>
      <c r="C26" s="31" t="s">
        <v>74</v>
      </c>
      <c r="D26" s="31" t="s">
        <v>56</v>
      </c>
      <c r="E26" s="31" t="s">
        <v>59</v>
      </c>
      <c r="F26" s="31">
        <v>1721</v>
      </c>
      <c r="G26" s="31">
        <v>120.65</v>
      </c>
      <c r="H26" s="31" t="s">
        <v>114</v>
      </c>
      <c r="I26" s="32">
        <v>44963</v>
      </c>
    </row>
    <row r="27" spans="1:9" ht="14.25" customHeight="1" x14ac:dyDescent="0.35">
      <c r="A27" s="31" t="s">
        <v>137</v>
      </c>
      <c r="B27" s="31" t="s">
        <v>124</v>
      </c>
      <c r="C27" s="31" t="s">
        <v>76</v>
      </c>
      <c r="D27" s="31" t="s">
        <v>59</v>
      </c>
      <c r="E27" s="31" t="s">
        <v>55</v>
      </c>
      <c r="F27" s="31">
        <v>1784</v>
      </c>
      <c r="H27" s="31" t="s">
        <v>114</v>
      </c>
      <c r="I27" s="32">
        <v>44943</v>
      </c>
    </row>
    <row r="28" spans="1:9" ht="14.25" customHeight="1" x14ac:dyDescent="0.35">
      <c r="A28" s="31" t="s">
        <v>138</v>
      </c>
      <c r="B28" s="31" t="s">
        <v>109</v>
      </c>
      <c r="C28" s="31" t="s">
        <v>79</v>
      </c>
      <c r="D28" s="31" t="s">
        <v>55</v>
      </c>
      <c r="E28" s="31" t="s">
        <v>57</v>
      </c>
      <c r="F28" s="31">
        <v>1007</v>
      </c>
      <c r="G28" s="31">
        <v>116.6</v>
      </c>
      <c r="H28" s="31" t="s">
        <v>114</v>
      </c>
      <c r="I28" s="32">
        <v>44974</v>
      </c>
    </row>
    <row r="29" spans="1:9" ht="14.25" customHeight="1" x14ac:dyDescent="0.35">
      <c r="A29" s="31" t="s">
        <v>139</v>
      </c>
      <c r="B29" s="31" t="s">
        <v>124</v>
      </c>
      <c r="C29" s="31" t="s">
        <v>78</v>
      </c>
      <c r="D29" s="31" t="s">
        <v>55</v>
      </c>
      <c r="E29" s="31" t="s">
        <v>56</v>
      </c>
      <c r="F29" s="31">
        <v>1903</v>
      </c>
      <c r="G29" s="31">
        <v>151.18</v>
      </c>
      <c r="H29" s="31" t="s">
        <v>114</v>
      </c>
      <c r="I29" s="32">
        <v>44977</v>
      </c>
    </row>
    <row r="30" spans="1:9" ht="14.25" customHeight="1" x14ac:dyDescent="0.35">
      <c r="A30" s="31" t="s">
        <v>140</v>
      </c>
      <c r="B30" s="31" t="s">
        <v>141</v>
      </c>
      <c r="C30" s="31" t="s">
        <v>78</v>
      </c>
      <c r="D30" s="31" t="s">
        <v>60</v>
      </c>
      <c r="E30" s="31" t="s">
        <v>56</v>
      </c>
      <c r="F30" s="31">
        <v>1262</v>
      </c>
      <c r="G30" s="31">
        <v>100.72</v>
      </c>
      <c r="H30" s="31" t="s">
        <v>107</v>
      </c>
      <c r="I30" s="32">
        <v>44954</v>
      </c>
    </row>
    <row r="31" spans="1:9" ht="14.25" customHeight="1" x14ac:dyDescent="0.35">
      <c r="A31" s="31" t="s">
        <v>142</v>
      </c>
      <c r="B31" s="31" t="s">
        <v>118</v>
      </c>
      <c r="C31" s="31" t="s">
        <v>81</v>
      </c>
      <c r="D31" s="31" t="s">
        <v>57</v>
      </c>
      <c r="E31" s="31" t="s">
        <v>58</v>
      </c>
      <c r="F31" s="31">
        <v>317</v>
      </c>
      <c r="G31" s="31">
        <v>28.83</v>
      </c>
      <c r="H31" s="31" t="s">
        <v>107</v>
      </c>
      <c r="I31" s="32">
        <v>44985</v>
      </c>
    </row>
    <row r="32" spans="1:9" ht="14.25" customHeight="1" x14ac:dyDescent="0.35">
      <c r="A32" s="31" t="s">
        <v>143</v>
      </c>
      <c r="B32" s="31" t="s">
        <v>124</v>
      </c>
      <c r="C32" s="31" t="s">
        <v>76</v>
      </c>
      <c r="D32" s="31" t="s">
        <v>58</v>
      </c>
      <c r="E32" s="31" t="s">
        <v>54</v>
      </c>
      <c r="F32" s="31">
        <v>1188</v>
      </c>
      <c r="G32" s="31">
        <v>92.84</v>
      </c>
      <c r="H32" s="31" t="s">
        <v>107</v>
      </c>
      <c r="I32" s="32">
        <v>44960</v>
      </c>
    </row>
    <row r="33" spans="1:9" ht="14.25" customHeight="1" x14ac:dyDescent="0.35">
      <c r="A33" s="31" t="s">
        <v>144</v>
      </c>
      <c r="B33" s="31" t="s">
        <v>141</v>
      </c>
      <c r="C33" s="31" t="s">
        <v>82</v>
      </c>
      <c r="D33" s="31" t="s">
        <v>58</v>
      </c>
      <c r="E33" s="31" t="s">
        <v>57</v>
      </c>
      <c r="F33" s="31">
        <v>398</v>
      </c>
      <c r="G33" s="31">
        <v>43.89</v>
      </c>
      <c r="H33" s="31" t="s">
        <v>114</v>
      </c>
      <c r="I33" s="32">
        <v>44962</v>
      </c>
    </row>
    <row r="34" spans="1:9" ht="14.25" customHeight="1" x14ac:dyDescent="0.35">
      <c r="A34" s="31" t="s">
        <v>145</v>
      </c>
      <c r="B34" s="31" t="s">
        <v>124</v>
      </c>
      <c r="C34" s="31" t="s">
        <v>81</v>
      </c>
      <c r="D34" s="31" t="s">
        <v>58</v>
      </c>
      <c r="E34" s="31" t="s">
        <v>59</v>
      </c>
      <c r="F34" s="31">
        <v>385</v>
      </c>
      <c r="G34" s="31">
        <v>31.03</v>
      </c>
      <c r="H34" s="31" t="s">
        <v>114</v>
      </c>
      <c r="I34" s="32">
        <v>44950</v>
      </c>
    </row>
    <row r="35" spans="1:9" ht="14.25" customHeight="1" x14ac:dyDescent="0.35">
      <c r="A35" s="31" t="s">
        <v>146</v>
      </c>
      <c r="B35" s="31" t="s">
        <v>118</v>
      </c>
      <c r="C35" s="31" t="s">
        <v>82</v>
      </c>
      <c r="D35" s="31" t="s">
        <v>54</v>
      </c>
      <c r="E35" s="31" t="s">
        <v>58</v>
      </c>
      <c r="F35" s="31">
        <v>818</v>
      </c>
      <c r="G35" s="31">
        <v>94.24</v>
      </c>
      <c r="H35" s="31" t="s">
        <v>114</v>
      </c>
      <c r="I35" s="32">
        <v>44975</v>
      </c>
    </row>
    <row r="36" spans="1:9" ht="14.25" customHeight="1" x14ac:dyDescent="0.35">
      <c r="A36" s="31" t="s">
        <v>147</v>
      </c>
      <c r="B36" s="31" t="s">
        <v>106</v>
      </c>
      <c r="C36" s="31" t="s">
        <v>76</v>
      </c>
      <c r="D36" s="31" t="s">
        <v>54</v>
      </c>
      <c r="E36" s="31" t="s">
        <v>57</v>
      </c>
      <c r="F36" s="31">
        <v>1806</v>
      </c>
      <c r="G36" s="31">
        <v>121.36</v>
      </c>
      <c r="H36" s="31" t="s">
        <v>107</v>
      </c>
      <c r="I36" s="32">
        <v>44967</v>
      </c>
    </row>
    <row r="37" spans="1:9" ht="14.25" customHeight="1" x14ac:dyDescent="0.35">
      <c r="A37" s="31" t="s">
        <v>148</v>
      </c>
      <c r="B37" s="31" t="s">
        <v>118</v>
      </c>
      <c r="C37" s="31" t="s">
        <v>82</v>
      </c>
      <c r="D37" s="31" t="s">
        <v>54</v>
      </c>
      <c r="E37" s="31" t="s">
        <v>55</v>
      </c>
      <c r="F37" s="31">
        <v>424</v>
      </c>
      <c r="G37" s="31">
        <v>37.630000000000003</v>
      </c>
      <c r="H37" s="31" t="s">
        <v>107</v>
      </c>
      <c r="I37" s="32">
        <v>44975</v>
      </c>
    </row>
    <row r="38" spans="1:9" ht="14.25" customHeight="1" x14ac:dyDescent="0.35">
      <c r="A38" s="31" t="s">
        <v>149</v>
      </c>
      <c r="B38" s="31" t="s">
        <v>109</v>
      </c>
      <c r="C38" s="31" t="s">
        <v>73</v>
      </c>
      <c r="D38" s="31" t="s">
        <v>54</v>
      </c>
      <c r="E38" s="31" t="s">
        <v>56</v>
      </c>
      <c r="F38" s="31">
        <v>909</v>
      </c>
      <c r="G38" s="31">
        <v>70.400000000000006</v>
      </c>
      <c r="H38" s="31" t="s">
        <v>107</v>
      </c>
      <c r="I38" s="32">
        <v>44944</v>
      </c>
    </row>
    <row r="39" spans="1:9" ht="14.25" customHeight="1" x14ac:dyDescent="0.35">
      <c r="A39" s="31" t="s">
        <v>150</v>
      </c>
      <c r="B39" s="31" t="s">
        <v>151</v>
      </c>
      <c r="C39" s="31" t="s">
        <v>78</v>
      </c>
      <c r="D39" s="31" t="s">
        <v>56</v>
      </c>
      <c r="E39" s="31" t="s">
        <v>60</v>
      </c>
      <c r="F39" s="31">
        <v>1404</v>
      </c>
      <c r="G39" s="31">
        <v>151.36000000000001</v>
      </c>
      <c r="H39" s="31" t="s">
        <v>114</v>
      </c>
      <c r="I39" s="32">
        <v>44981</v>
      </c>
    </row>
    <row r="40" spans="1:9" ht="14.25" customHeight="1" x14ac:dyDescent="0.35">
      <c r="A40" s="31" t="s">
        <v>152</v>
      </c>
      <c r="B40" s="31" t="s">
        <v>151</v>
      </c>
      <c r="C40" s="31" t="s">
        <v>75</v>
      </c>
      <c r="D40" s="31" t="s">
        <v>56</v>
      </c>
      <c r="E40" s="31" t="s">
        <v>55</v>
      </c>
      <c r="F40" s="31">
        <v>555</v>
      </c>
      <c r="G40" s="31">
        <v>37.39</v>
      </c>
      <c r="H40" s="31" t="s">
        <v>107</v>
      </c>
      <c r="I40" s="32">
        <v>44937</v>
      </c>
    </row>
    <row r="41" spans="1:9" ht="14.25" customHeight="1" x14ac:dyDescent="0.35">
      <c r="A41" s="31" t="s">
        <v>153</v>
      </c>
      <c r="B41" s="31" t="s">
        <v>141</v>
      </c>
      <c r="C41" s="31" t="s">
        <v>80</v>
      </c>
      <c r="D41" s="31" t="s">
        <v>58</v>
      </c>
      <c r="E41" s="31" t="s">
        <v>57</v>
      </c>
      <c r="F41" s="31">
        <v>705</v>
      </c>
      <c r="G41" s="31">
        <v>62.94</v>
      </c>
      <c r="H41" s="31" t="s">
        <v>114</v>
      </c>
      <c r="I41" s="32">
        <v>44938</v>
      </c>
    </row>
    <row r="42" spans="1:9" ht="14.25" customHeight="1" x14ac:dyDescent="0.35">
      <c r="A42" s="31" t="s">
        <v>154</v>
      </c>
      <c r="B42" s="31" t="s">
        <v>109</v>
      </c>
      <c r="C42" s="31" t="s">
        <v>73</v>
      </c>
      <c r="D42" s="31" t="s">
        <v>58</v>
      </c>
      <c r="E42" s="31" t="s">
        <v>54</v>
      </c>
      <c r="F42" s="31">
        <v>64</v>
      </c>
      <c r="G42" s="31">
        <v>4.96</v>
      </c>
      <c r="H42" s="31" t="s">
        <v>114</v>
      </c>
      <c r="I42" s="32">
        <v>44952</v>
      </c>
    </row>
    <row r="43" spans="1:9" ht="14.25" customHeight="1" x14ac:dyDescent="0.35">
      <c r="A43" s="31" t="s">
        <v>155</v>
      </c>
      <c r="B43" s="31" t="s">
        <v>124</v>
      </c>
      <c r="C43" s="31" t="s">
        <v>75</v>
      </c>
      <c r="D43" s="31" t="s">
        <v>58</v>
      </c>
      <c r="E43" s="31" t="s">
        <v>59</v>
      </c>
      <c r="F43" s="31">
        <v>1245</v>
      </c>
      <c r="G43" s="31">
        <v>95.14</v>
      </c>
      <c r="H43" s="31" t="s">
        <v>107</v>
      </c>
      <c r="I43" s="32">
        <v>44967</v>
      </c>
    </row>
    <row r="44" spans="1:9" ht="14.25" customHeight="1" x14ac:dyDescent="0.35">
      <c r="A44" s="31" t="s">
        <v>156</v>
      </c>
      <c r="B44" s="31" t="s">
        <v>109</v>
      </c>
      <c r="C44" s="31" t="s">
        <v>78</v>
      </c>
      <c r="D44" s="31" t="s">
        <v>58</v>
      </c>
      <c r="E44" s="31" t="s">
        <v>56</v>
      </c>
      <c r="F44" s="31">
        <v>116</v>
      </c>
      <c r="G44" s="31">
        <v>8.7100000000000009</v>
      </c>
      <c r="H44" s="31" t="s">
        <v>114</v>
      </c>
      <c r="I44" s="32">
        <v>44932</v>
      </c>
    </row>
    <row r="45" spans="1:9" ht="14.25" customHeight="1" x14ac:dyDescent="0.35">
      <c r="A45" s="31" t="s">
        <v>157</v>
      </c>
      <c r="B45" s="31" t="s">
        <v>106</v>
      </c>
      <c r="C45" s="31" t="s">
        <v>79</v>
      </c>
      <c r="D45" s="31" t="s">
        <v>54</v>
      </c>
      <c r="E45" s="31" t="s">
        <v>60</v>
      </c>
      <c r="F45" s="31">
        <v>1259</v>
      </c>
      <c r="H45" s="31" t="s">
        <v>114</v>
      </c>
      <c r="I45" s="32">
        <v>44955</v>
      </c>
    </row>
    <row r="46" spans="1:9" ht="14.25" customHeight="1" x14ac:dyDescent="0.35">
      <c r="A46" s="31" t="s">
        <v>158</v>
      </c>
      <c r="B46" s="31" t="s">
        <v>118</v>
      </c>
      <c r="C46" s="31" t="s">
        <v>75</v>
      </c>
      <c r="D46" s="31" t="s">
        <v>57</v>
      </c>
      <c r="E46" s="31" t="s">
        <v>59</v>
      </c>
      <c r="F46" s="31">
        <v>1803</v>
      </c>
      <c r="G46" s="31">
        <v>211.34</v>
      </c>
      <c r="H46" s="31" t="s">
        <v>107</v>
      </c>
      <c r="I46" s="32">
        <v>44970</v>
      </c>
    </row>
    <row r="47" spans="1:9" ht="14.25" customHeight="1" x14ac:dyDescent="0.35">
      <c r="A47" s="31" t="s">
        <v>159</v>
      </c>
      <c r="B47" s="31" t="s">
        <v>106</v>
      </c>
      <c r="C47" s="31" t="s">
        <v>79</v>
      </c>
      <c r="D47" s="31" t="s">
        <v>59</v>
      </c>
      <c r="E47" s="31" t="s">
        <v>58</v>
      </c>
      <c r="F47" s="31">
        <v>1096</v>
      </c>
      <c r="G47" s="31">
        <v>100.52</v>
      </c>
      <c r="H47" s="31" t="s">
        <v>114</v>
      </c>
      <c r="I47" s="32">
        <v>44947</v>
      </c>
    </row>
    <row r="48" spans="1:9" ht="14.25" customHeight="1" x14ac:dyDescent="0.35">
      <c r="A48" s="31" t="s">
        <v>160</v>
      </c>
      <c r="B48" s="31" t="s">
        <v>124</v>
      </c>
      <c r="C48" s="31" t="s">
        <v>78</v>
      </c>
      <c r="D48" s="31" t="s">
        <v>58</v>
      </c>
      <c r="E48" s="31" t="s">
        <v>54</v>
      </c>
      <c r="F48" s="31">
        <v>572</v>
      </c>
      <c r="G48" s="31">
        <v>61.6</v>
      </c>
      <c r="H48" s="31" t="s">
        <v>107</v>
      </c>
      <c r="I48" s="32">
        <v>44948</v>
      </c>
    </row>
    <row r="49" spans="1:9" ht="14.25" customHeight="1" x14ac:dyDescent="0.35">
      <c r="A49" s="31" t="s">
        <v>161</v>
      </c>
      <c r="B49" s="31" t="s">
        <v>106</v>
      </c>
      <c r="C49" s="31" t="s">
        <v>73</v>
      </c>
      <c r="D49" s="31" t="s">
        <v>59</v>
      </c>
      <c r="E49" s="31" t="s">
        <v>56</v>
      </c>
      <c r="F49" s="31">
        <v>1441</v>
      </c>
      <c r="G49" s="31">
        <v>140.79</v>
      </c>
      <c r="H49" s="31" t="s">
        <v>114</v>
      </c>
      <c r="I49" s="32">
        <v>44985</v>
      </c>
    </row>
    <row r="50" spans="1:9" ht="14.25" customHeight="1" x14ac:dyDescent="0.35">
      <c r="A50" s="31" t="s">
        <v>162</v>
      </c>
      <c r="B50" s="31" t="s">
        <v>116</v>
      </c>
      <c r="C50" s="31" t="s">
        <v>76</v>
      </c>
      <c r="D50" s="31" t="s">
        <v>56</v>
      </c>
      <c r="E50" s="31" t="s">
        <v>60</v>
      </c>
      <c r="F50" s="31">
        <v>1685</v>
      </c>
      <c r="G50" s="31">
        <v>119.01</v>
      </c>
      <c r="H50" s="31" t="s">
        <v>114</v>
      </c>
      <c r="I50" s="32">
        <v>44973</v>
      </c>
    </row>
    <row r="51" spans="1:9" ht="14.25" customHeight="1" x14ac:dyDescent="0.35">
      <c r="A51" s="31" t="s">
        <v>163</v>
      </c>
      <c r="B51" s="31" t="s">
        <v>109</v>
      </c>
      <c r="C51" s="31" t="s">
        <v>75</v>
      </c>
      <c r="D51" s="31" t="s">
        <v>60</v>
      </c>
      <c r="E51" s="31" t="s">
        <v>54</v>
      </c>
      <c r="F51" s="31">
        <v>1233</v>
      </c>
      <c r="G51" s="31">
        <v>153.35</v>
      </c>
      <c r="H51" s="31" t="s">
        <v>107</v>
      </c>
      <c r="I51" s="32">
        <v>44938</v>
      </c>
    </row>
    <row r="52" spans="1:9" ht="14.25" customHeight="1" x14ac:dyDescent="0.35">
      <c r="I52" s="32"/>
    </row>
    <row r="53" spans="1:9" ht="14.25" customHeight="1" x14ac:dyDescent="0.35">
      <c r="I53" s="32"/>
    </row>
    <row r="54" spans="1:9" ht="14.25" customHeight="1" x14ac:dyDescent="0.35">
      <c r="I54" s="32"/>
    </row>
    <row r="55" spans="1:9" ht="14.25" customHeight="1" x14ac:dyDescent="0.35">
      <c r="I55" s="32"/>
    </row>
    <row r="56" spans="1:9" ht="14.25" customHeight="1" x14ac:dyDescent="0.35">
      <c r="I56" s="32"/>
    </row>
    <row r="57" spans="1:9" ht="14.25" customHeight="1" x14ac:dyDescent="0.35">
      <c r="I57" s="32"/>
    </row>
    <row r="58" spans="1:9" ht="14.25" customHeight="1" x14ac:dyDescent="0.35">
      <c r="I58" s="32"/>
    </row>
    <row r="59" spans="1:9" ht="14.25" customHeight="1" x14ac:dyDescent="0.35">
      <c r="I59" s="32"/>
    </row>
    <row r="60" spans="1:9" ht="14.25" customHeight="1" x14ac:dyDescent="0.35">
      <c r="I60" s="32"/>
    </row>
    <row r="61" spans="1:9" ht="14.25" customHeight="1" x14ac:dyDescent="0.35">
      <c r="I61" s="32"/>
    </row>
    <row r="62" spans="1:9" ht="14.25" customHeight="1" x14ac:dyDescent="0.35">
      <c r="I62" s="32"/>
    </row>
    <row r="63" spans="1:9" ht="14.25" customHeight="1" x14ac:dyDescent="0.35">
      <c r="I63" s="32"/>
    </row>
    <row r="64" spans="1:9" ht="14.25" customHeight="1" x14ac:dyDescent="0.35">
      <c r="I64" s="32"/>
    </row>
    <row r="65" spans="9:9" ht="14.25" customHeight="1" x14ac:dyDescent="0.35">
      <c r="I65" s="32"/>
    </row>
    <row r="66" spans="9:9" ht="14.25" customHeight="1" x14ac:dyDescent="0.35">
      <c r="I66" s="32"/>
    </row>
    <row r="67" spans="9:9" ht="14.25" customHeight="1" x14ac:dyDescent="0.35">
      <c r="I67" s="32"/>
    </row>
    <row r="68" spans="9:9" ht="14.25" customHeight="1" x14ac:dyDescent="0.35">
      <c r="I68" s="32"/>
    </row>
    <row r="69" spans="9:9" ht="14.25" customHeight="1" x14ac:dyDescent="0.35">
      <c r="I69" s="32"/>
    </row>
    <row r="70" spans="9:9" ht="14.25" customHeight="1" x14ac:dyDescent="0.35">
      <c r="I70" s="32"/>
    </row>
    <row r="71" spans="9:9" ht="14.25" customHeight="1" x14ac:dyDescent="0.35">
      <c r="I71" s="32"/>
    </row>
    <row r="72" spans="9:9" ht="14.25" customHeight="1" x14ac:dyDescent="0.35">
      <c r="I72" s="32"/>
    </row>
    <row r="73" spans="9:9" ht="14.25" customHeight="1" x14ac:dyDescent="0.35">
      <c r="I73" s="32"/>
    </row>
    <row r="74" spans="9:9" ht="14.25" customHeight="1" x14ac:dyDescent="0.35">
      <c r="I74" s="32"/>
    </row>
    <row r="75" spans="9:9" ht="14.25" customHeight="1" x14ac:dyDescent="0.35">
      <c r="I75" s="32"/>
    </row>
    <row r="76" spans="9:9" ht="14.25" customHeight="1" x14ac:dyDescent="0.35">
      <c r="I76" s="32"/>
    </row>
    <row r="77" spans="9:9" ht="14.25" customHeight="1" x14ac:dyDescent="0.35">
      <c r="I77" s="32"/>
    </row>
    <row r="78" spans="9:9" ht="14.25" customHeight="1" x14ac:dyDescent="0.35">
      <c r="I78" s="32"/>
    </row>
    <row r="79" spans="9:9" ht="14.25" customHeight="1" x14ac:dyDescent="0.35">
      <c r="I79" s="32"/>
    </row>
    <row r="80" spans="9:9" ht="14.25" customHeight="1" x14ac:dyDescent="0.35">
      <c r="I80" s="32"/>
    </row>
    <row r="81" spans="9:9" ht="14.25" customHeight="1" x14ac:dyDescent="0.35">
      <c r="I81" s="32"/>
    </row>
    <row r="82" spans="9:9" ht="14.25" customHeight="1" x14ac:dyDescent="0.35">
      <c r="I82" s="32"/>
    </row>
    <row r="83" spans="9:9" ht="14.25" customHeight="1" x14ac:dyDescent="0.35">
      <c r="I83" s="32"/>
    </row>
    <row r="84" spans="9:9" ht="14.25" customHeight="1" x14ac:dyDescent="0.35">
      <c r="I84" s="32"/>
    </row>
    <row r="85" spans="9:9" ht="14.25" customHeight="1" x14ac:dyDescent="0.35">
      <c r="I85" s="32"/>
    </row>
    <row r="86" spans="9:9" ht="14.25" customHeight="1" x14ac:dyDescent="0.35">
      <c r="I86" s="32"/>
    </row>
    <row r="87" spans="9:9" ht="14.25" customHeight="1" x14ac:dyDescent="0.35">
      <c r="I87" s="32"/>
    </row>
    <row r="88" spans="9:9" ht="14.25" customHeight="1" x14ac:dyDescent="0.35">
      <c r="I88" s="32"/>
    </row>
    <row r="89" spans="9:9" ht="14.25" customHeight="1" x14ac:dyDescent="0.35">
      <c r="I89" s="32"/>
    </row>
    <row r="90" spans="9:9" ht="14.25" customHeight="1" x14ac:dyDescent="0.35">
      <c r="I90" s="32"/>
    </row>
    <row r="91" spans="9:9" ht="14.25" customHeight="1" x14ac:dyDescent="0.35">
      <c r="I91" s="32"/>
    </row>
    <row r="92" spans="9:9" ht="14.25" customHeight="1" x14ac:dyDescent="0.35">
      <c r="I92" s="32"/>
    </row>
    <row r="93" spans="9:9" ht="14.25" customHeight="1" x14ac:dyDescent="0.35">
      <c r="I93" s="32"/>
    </row>
    <row r="94" spans="9:9" ht="14.25" customHeight="1" x14ac:dyDescent="0.35">
      <c r="I94" s="32"/>
    </row>
    <row r="95" spans="9:9" ht="14.25" customHeight="1" x14ac:dyDescent="0.35">
      <c r="I95" s="32"/>
    </row>
    <row r="96" spans="9:9" ht="14.25" customHeight="1" x14ac:dyDescent="0.35">
      <c r="I96" s="32"/>
    </row>
    <row r="97" spans="9:9" ht="14.25" customHeight="1" x14ac:dyDescent="0.35">
      <c r="I97" s="32"/>
    </row>
    <row r="98" spans="9:9" ht="14.25" customHeight="1" x14ac:dyDescent="0.35">
      <c r="I98" s="32"/>
    </row>
    <row r="99" spans="9:9" ht="14.25" customHeight="1" x14ac:dyDescent="0.35">
      <c r="I99" s="32"/>
    </row>
    <row r="100" spans="9:9" ht="14.25" customHeight="1" x14ac:dyDescent="0.35">
      <c r="I100" s="32"/>
    </row>
    <row r="101" spans="9:9" ht="14.25" customHeight="1" x14ac:dyDescent="0.35">
      <c r="I101" s="32"/>
    </row>
    <row r="102" spans="9:9" ht="14.25" customHeight="1" x14ac:dyDescent="0.35">
      <c r="I102" s="32"/>
    </row>
    <row r="103" spans="9:9" ht="14.25" customHeight="1" x14ac:dyDescent="0.35">
      <c r="I103" s="32"/>
    </row>
    <row r="104" spans="9:9" ht="14.25" customHeight="1" x14ac:dyDescent="0.35">
      <c r="I104" s="32"/>
    </row>
    <row r="105" spans="9:9" ht="14.25" customHeight="1" x14ac:dyDescent="0.35">
      <c r="I105" s="32"/>
    </row>
    <row r="106" spans="9:9" ht="14.25" customHeight="1" x14ac:dyDescent="0.35">
      <c r="I106" s="32"/>
    </row>
    <row r="107" spans="9:9" ht="14.25" customHeight="1" x14ac:dyDescent="0.35">
      <c r="I107" s="32"/>
    </row>
    <row r="108" spans="9:9" ht="14.25" customHeight="1" x14ac:dyDescent="0.35">
      <c r="I108" s="32"/>
    </row>
    <row r="109" spans="9:9" ht="14.25" customHeight="1" x14ac:dyDescent="0.35">
      <c r="I109" s="32"/>
    </row>
    <row r="110" spans="9:9" ht="14.25" customHeight="1" x14ac:dyDescent="0.35">
      <c r="I110" s="32"/>
    </row>
    <row r="111" spans="9:9" ht="14.25" customHeight="1" x14ac:dyDescent="0.35">
      <c r="I111" s="32"/>
    </row>
    <row r="112" spans="9:9" ht="14.25" customHeight="1" x14ac:dyDescent="0.35">
      <c r="I112" s="32"/>
    </row>
    <row r="113" spans="9:9" ht="14.25" customHeight="1" x14ac:dyDescent="0.35">
      <c r="I113" s="32"/>
    </row>
    <row r="114" spans="9:9" ht="14.25" customHeight="1" x14ac:dyDescent="0.35">
      <c r="I114" s="32"/>
    </row>
    <row r="115" spans="9:9" ht="14.25" customHeight="1" x14ac:dyDescent="0.35">
      <c r="I115" s="32"/>
    </row>
    <row r="116" spans="9:9" ht="14.25" customHeight="1" x14ac:dyDescent="0.35">
      <c r="I116" s="32"/>
    </row>
    <row r="117" spans="9:9" ht="14.25" customHeight="1" x14ac:dyDescent="0.35">
      <c r="I117" s="32"/>
    </row>
    <row r="118" spans="9:9" ht="14.25" customHeight="1" x14ac:dyDescent="0.35">
      <c r="I118" s="32"/>
    </row>
    <row r="119" spans="9:9" ht="14.25" customHeight="1" x14ac:dyDescent="0.35">
      <c r="I119" s="32"/>
    </row>
    <row r="120" spans="9:9" ht="14.25" customHeight="1" x14ac:dyDescent="0.35">
      <c r="I120" s="32"/>
    </row>
    <row r="121" spans="9:9" ht="14.25" customHeight="1" x14ac:dyDescent="0.35">
      <c r="I121" s="32"/>
    </row>
    <row r="122" spans="9:9" ht="14.25" customHeight="1" x14ac:dyDescent="0.35">
      <c r="I122" s="32"/>
    </row>
    <row r="123" spans="9:9" ht="14.25" customHeight="1" x14ac:dyDescent="0.35">
      <c r="I123" s="32"/>
    </row>
    <row r="124" spans="9:9" ht="14.25" customHeight="1" x14ac:dyDescent="0.35">
      <c r="I124" s="32"/>
    </row>
    <row r="125" spans="9:9" ht="14.25" customHeight="1" x14ac:dyDescent="0.35">
      <c r="I125" s="32"/>
    </row>
    <row r="126" spans="9:9" ht="14.25" customHeight="1" x14ac:dyDescent="0.35">
      <c r="I126" s="32"/>
    </row>
    <row r="127" spans="9:9" ht="14.25" customHeight="1" x14ac:dyDescent="0.35">
      <c r="I127" s="32"/>
    </row>
    <row r="128" spans="9:9" ht="14.25" customHeight="1" x14ac:dyDescent="0.35">
      <c r="I128" s="32"/>
    </row>
    <row r="129" spans="9:9" ht="14.25" customHeight="1" x14ac:dyDescent="0.35">
      <c r="I129" s="32"/>
    </row>
    <row r="130" spans="9:9" ht="14.25" customHeight="1" x14ac:dyDescent="0.35">
      <c r="I130" s="32"/>
    </row>
    <row r="131" spans="9:9" ht="14.25" customHeight="1" x14ac:dyDescent="0.35">
      <c r="I131" s="32"/>
    </row>
    <row r="132" spans="9:9" ht="14.25" customHeight="1" x14ac:dyDescent="0.35">
      <c r="I132" s="32"/>
    </row>
    <row r="133" spans="9:9" ht="14.25" customHeight="1" x14ac:dyDescent="0.35">
      <c r="I133" s="32"/>
    </row>
    <row r="134" spans="9:9" ht="14.25" customHeight="1" x14ac:dyDescent="0.35">
      <c r="I134" s="32"/>
    </row>
    <row r="135" spans="9:9" ht="14.25" customHeight="1" x14ac:dyDescent="0.35">
      <c r="I135" s="32"/>
    </row>
    <row r="136" spans="9:9" ht="14.25" customHeight="1" x14ac:dyDescent="0.35">
      <c r="I136" s="32"/>
    </row>
    <row r="137" spans="9:9" ht="14.25" customHeight="1" x14ac:dyDescent="0.35">
      <c r="I137" s="32"/>
    </row>
    <row r="138" spans="9:9" ht="14.25" customHeight="1" x14ac:dyDescent="0.35">
      <c r="I138" s="32"/>
    </row>
    <row r="139" spans="9:9" ht="14.25" customHeight="1" x14ac:dyDescent="0.35">
      <c r="I139" s="32"/>
    </row>
    <row r="140" spans="9:9" ht="14.25" customHeight="1" x14ac:dyDescent="0.35">
      <c r="I140" s="32"/>
    </row>
    <row r="141" spans="9:9" ht="14.25" customHeight="1" x14ac:dyDescent="0.35">
      <c r="I141" s="32"/>
    </row>
    <row r="142" spans="9:9" ht="14.25" customHeight="1" x14ac:dyDescent="0.35">
      <c r="I142" s="32"/>
    </row>
    <row r="143" spans="9:9" ht="14.25" customHeight="1" x14ac:dyDescent="0.35">
      <c r="I143" s="32"/>
    </row>
    <row r="144" spans="9:9" ht="14.25" customHeight="1" x14ac:dyDescent="0.35">
      <c r="I144" s="32"/>
    </row>
    <row r="145" spans="9:9" ht="14.25" customHeight="1" x14ac:dyDescent="0.35">
      <c r="I145" s="32"/>
    </row>
    <row r="146" spans="9:9" ht="14.25" customHeight="1" x14ac:dyDescent="0.35">
      <c r="I146" s="32"/>
    </row>
    <row r="147" spans="9:9" ht="14.25" customHeight="1" x14ac:dyDescent="0.35">
      <c r="I147" s="32"/>
    </row>
    <row r="148" spans="9:9" ht="14.25" customHeight="1" x14ac:dyDescent="0.35">
      <c r="I148" s="32"/>
    </row>
    <row r="149" spans="9:9" ht="14.25" customHeight="1" x14ac:dyDescent="0.35">
      <c r="I149" s="32"/>
    </row>
    <row r="150" spans="9:9" ht="14.25" customHeight="1" x14ac:dyDescent="0.35">
      <c r="I150" s="32"/>
    </row>
    <row r="151" spans="9:9" ht="14.25" customHeight="1" x14ac:dyDescent="0.35">
      <c r="I151" s="32"/>
    </row>
    <row r="152" spans="9:9" ht="14.25" customHeight="1" x14ac:dyDescent="0.35">
      <c r="I152" s="32"/>
    </row>
    <row r="153" spans="9:9" ht="14.25" customHeight="1" x14ac:dyDescent="0.35">
      <c r="I153" s="32"/>
    </row>
    <row r="154" spans="9:9" ht="14.25" customHeight="1" x14ac:dyDescent="0.35">
      <c r="I154" s="32"/>
    </row>
    <row r="155" spans="9:9" ht="14.25" customHeight="1" x14ac:dyDescent="0.35">
      <c r="I155" s="32"/>
    </row>
    <row r="156" spans="9:9" ht="14.25" customHeight="1" x14ac:dyDescent="0.35">
      <c r="I156" s="32"/>
    </row>
    <row r="157" spans="9:9" ht="14.25" customHeight="1" x14ac:dyDescent="0.35">
      <c r="I157" s="32"/>
    </row>
    <row r="158" spans="9:9" ht="14.25" customHeight="1" x14ac:dyDescent="0.35">
      <c r="I158" s="32"/>
    </row>
    <row r="159" spans="9:9" ht="14.25" customHeight="1" x14ac:dyDescent="0.35">
      <c r="I159" s="32"/>
    </row>
    <row r="160" spans="9:9" ht="14.25" customHeight="1" x14ac:dyDescent="0.35">
      <c r="I160" s="32"/>
    </row>
    <row r="161" spans="9:9" ht="14.25" customHeight="1" x14ac:dyDescent="0.35">
      <c r="I161" s="32"/>
    </row>
    <row r="162" spans="9:9" ht="14.25" customHeight="1" x14ac:dyDescent="0.35">
      <c r="I162" s="32"/>
    </row>
    <row r="163" spans="9:9" ht="14.25" customHeight="1" x14ac:dyDescent="0.35">
      <c r="I163" s="32"/>
    </row>
    <row r="164" spans="9:9" ht="14.25" customHeight="1" x14ac:dyDescent="0.35">
      <c r="I164" s="32"/>
    </row>
    <row r="165" spans="9:9" ht="14.25" customHeight="1" x14ac:dyDescent="0.35">
      <c r="I165" s="32"/>
    </row>
    <row r="166" spans="9:9" ht="14.25" customHeight="1" x14ac:dyDescent="0.35">
      <c r="I166" s="32"/>
    </row>
    <row r="167" spans="9:9" ht="14.25" customHeight="1" x14ac:dyDescent="0.35">
      <c r="I167" s="32"/>
    </row>
    <row r="168" spans="9:9" ht="14.25" customHeight="1" x14ac:dyDescent="0.35">
      <c r="I168" s="32"/>
    </row>
    <row r="169" spans="9:9" ht="14.25" customHeight="1" x14ac:dyDescent="0.35">
      <c r="I169" s="32"/>
    </row>
    <row r="170" spans="9:9" ht="14.25" customHeight="1" x14ac:dyDescent="0.35">
      <c r="I170" s="32"/>
    </row>
    <row r="171" spans="9:9" ht="14.25" customHeight="1" x14ac:dyDescent="0.35">
      <c r="I171" s="32"/>
    </row>
    <row r="172" spans="9:9" ht="14.25" customHeight="1" x14ac:dyDescent="0.35">
      <c r="I172" s="32"/>
    </row>
    <row r="173" spans="9:9" ht="14.25" customHeight="1" x14ac:dyDescent="0.35">
      <c r="I173" s="32"/>
    </row>
    <row r="174" spans="9:9" ht="14.25" customHeight="1" x14ac:dyDescent="0.35">
      <c r="I174" s="32"/>
    </row>
    <row r="175" spans="9:9" ht="14.25" customHeight="1" x14ac:dyDescent="0.35">
      <c r="I175" s="32"/>
    </row>
    <row r="176" spans="9:9" ht="14.25" customHeight="1" x14ac:dyDescent="0.35">
      <c r="I176" s="32"/>
    </row>
    <row r="177" spans="9:9" ht="14.25" customHeight="1" x14ac:dyDescent="0.35">
      <c r="I177" s="32"/>
    </row>
    <row r="178" spans="9:9" ht="14.25" customHeight="1" x14ac:dyDescent="0.35">
      <c r="I178" s="32"/>
    </row>
    <row r="179" spans="9:9" ht="14.25" customHeight="1" x14ac:dyDescent="0.35">
      <c r="I179" s="32"/>
    </row>
    <row r="180" spans="9:9" ht="14.25" customHeight="1" x14ac:dyDescent="0.35">
      <c r="I180" s="32"/>
    </row>
    <row r="181" spans="9:9" ht="14.25" customHeight="1" x14ac:dyDescent="0.35">
      <c r="I181" s="32"/>
    </row>
    <row r="182" spans="9:9" ht="14.25" customHeight="1" x14ac:dyDescent="0.35">
      <c r="I182" s="32"/>
    </row>
    <row r="183" spans="9:9" ht="14.25" customHeight="1" x14ac:dyDescent="0.35">
      <c r="I183" s="32"/>
    </row>
    <row r="184" spans="9:9" ht="14.25" customHeight="1" x14ac:dyDescent="0.35">
      <c r="I184" s="32"/>
    </row>
    <row r="185" spans="9:9" ht="14.25" customHeight="1" x14ac:dyDescent="0.35">
      <c r="I185" s="32"/>
    </row>
    <row r="186" spans="9:9" ht="14.25" customHeight="1" x14ac:dyDescent="0.35">
      <c r="I186" s="32"/>
    </row>
    <row r="187" spans="9:9" ht="14.25" customHeight="1" x14ac:dyDescent="0.35">
      <c r="I187" s="32"/>
    </row>
    <row r="188" spans="9:9" ht="14.25" customHeight="1" x14ac:dyDescent="0.35">
      <c r="I188" s="32"/>
    </row>
    <row r="189" spans="9:9" ht="14.25" customHeight="1" x14ac:dyDescent="0.35">
      <c r="I189" s="32"/>
    </row>
    <row r="190" spans="9:9" ht="14.25" customHeight="1" x14ac:dyDescent="0.35">
      <c r="I190" s="32"/>
    </row>
    <row r="191" spans="9:9" ht="14.25" customHeight="1" x14ac:dyDescent="0.35">
      <c r="I191" s="32"/>
    </row>
    <row r="192" spans="9:9" ht="14.25" customHeight="1" x14ac:dyDescent="0.35">
      <c r="I192" s="32"/>
    </row>
    <row r="193" spans="9:9" ht="14.25" customHeight="1" x14ac:dyDescent="0.35">
      <c r="I193" s="32"/>
    </row>
    <row r="194" spans="9:9" ht="14.25" customHeight="1" x14ac:dyDescent="0.35">
      <c r="I194" s="32"/>
    </row>
    <row r="195" spans="9:9" ht="14.25" customHeight="1" x14ac:dyDescent="0.35">
      <c r="I195" s="32"/>
    </row>
    <row r="196" spans="9:9" ht="14.25" customHeight="1" x14ac:dyDescent="0.35">
      <c r="I196" s="32"/>
    </row>
    <row r="197" spans="9:9" ht="14.25" customHeight="1" x14ac:dyDescent="0.35">
      <c r="I197" s="32"/>
    </row>
    <row r="198" spans="9:9" ht="14.25" customHeight="1" x14ac:dyDescent="0.35">
      <c r="I198" s="32"/>
    </row>
    <row r="199" spans="9:9" ht="14.25" customHeight="1" x14ac:dyDescent="0.35">
      <c r="I199" s="32"/>
    </row>
    <row r="200" spans="9:9" ht="14.25" customHeight="1" x14ac:dyDescent="0.35">
      <c r="I200" s="32"/>
    </row>
    <row r="201" spans="9:9" ht="14.25" customHeight="1" x14ac:dyDescent="0.35">
      <c r="I201" s="32"/>
    </row>
    <row r="202" spans="9:9" ht="14.25" customHeight="1" x14ac:dyDescent="0.35">
      <c r="I202" s="32"/>
    </row>
    <row r="203" spans="9:9" ht="14.25" customHeight="1" x14ac:dyDescent="0.35">
      <c r="I203" s="32"/>
    </row>
    <row r="204" spans="9:9" ht="14.25" customHeight="1" x14ac:dyDescent="0.35">
      <c r="I204" s="32"/>
    </row>
    <row r="205" spans="9:9" ht="14.25" customHeight="1" x14ac:dyDescent="0.35">
      <c r="I205" s="32"/>
    </row>
    <row r="206" spans="9:9" ht="14.25" customHeight="1" x14ac:dyDescent="0.35">
      <c r="I206" s="32"/>
    </row>
    <row r="207" spans="9:9" ht="14.25" customHeight="1" x14ac:dyDescent="0.35">
      <c r="I207" s="32"/>
    </row>
    <row r="208" spans="9:9" ht="14.25" customHeight="1" x14ac:dyDescent="0.35">
      <c r="I208" s="32"/>
    </row>
    <row r="209" spans="9:9" ht="14.25" customHeight="1" x14ac:dyDescent="0.35">
      <c r="I209" s="32"/>
    </row>
    <row r="210" spans="9:9" ht="14.25" customHeight="1" x14ac:dyDescent="0.35">
      <c r="I210" s="32"/>
    </row>
    <row r="211" spans="9:9" ht="14.25" customHeight="1" x14ac:dyDescent="0.35">
      <c r="I211" s="32"/>
    </row>
    <row r="212" spans="9:9" ht="14.25" customHeight="1" x14ac:dyDescent="0.35">
      <c r="I212" s="32"/>
    </row>
    <row r="213" spans="9:9" ht="14.25" customHeight="1" x14ac:dyDescent="0.35">
      <c r="I213" s="32"/>
    </row>
    <row r="214" spans="9:9" ht="14.25" customHeight="1" x14ac:dyDescent="0.35">
      <c r="I214" s="32"/>
    </row>
    <row r="215" spans="9:9" ht="14.25" customHeight="1" x14ac:dyDescent="0.35">
      <c r="I215" s="32"/>
    </row>
    <row r="216" spans="9:9" ht="14.25" customHeight="1" x14ac:dyDescent="0.35">
      <c r="I216" s="32"/>
    </row>
    <row r="217" spans="9:9" ht="14.25" customHeight="1" x14ac:dyDescent="0.35">
      <c r="I217" s="32"/>
    </row>
    <row r="218" spans="9:9" ht="14.25" customHeight="1" x14ac:dyDescent="0.35">
      <c r="I218" s="32"/>
    </row>
    <row r="219" spans="9:9" ht="14.25" customHeight="1" x14ac:dyDescent="0.35">
      <c r="I219" s="32"/>
    </row>
    <row r="220" spans="9:9" ht="14.25" customHeight="1" x14ac:dyDescent="0.35">
      <c r="I220" s="32"/>
    </row>
    <row r="221" spans="9:9" ht="14.25" customHeight="1" x14ac:dyDescent="0.35">
      <c r="I221" s="32"/>
    </row>
    <row r="222" spans="9:9" ht="14.25" customHeight="1" x14ac:dyDescent="0.35">
      <c r="I222" s="32"/>
    </row>
    <row r="223" spans="9:9" ht="14.25" customHeight="1" x14ac:dyDescent="0.35">
      <c r="I223" s="32"/>
    </row>
    <row r="224" spans="9:9" ht="14.25" customHeight="1" x14ac:dyDescent="0.35">
      <c r="I224" s="32"/>
    </row>
    <row r="225" spans="9:9" ht="14.25" customHeight="1" x14ac:dyDescent="0.35">
      <c r="I225" s="32"/>
    </row>
    <row r="226" spans="9:9" ht="14.25" customHeight="1" x14ac:dyDescent="0.35">
      <c r="I226" s="32"/>
    </row>
    <row r="227" spans="9:9" ht="14.25" customHeight="1" x14ac:dyDescent="0.35">
      <c r="I227" s="32"/>
    </row>
    <row r="228" spans="9:9" ht="14.25" customHeight="1" x14ac:dyDescent="0.35">
      <c r="I228" s="32"/>
    </row>
    <row r="229" spans="9:9" ht="14.25" customHeight="1" x14ac:dyDescent="0.35">
      <c r="I229" s="32"/>
    </row>
    <row r="230" spans="9:9" ht="14.25" customHeight="1" x14ac:dyDescent="0.35">
      <c r="I230" s="32"/>
    </row>
    <row r="231" spans="9:9" ht="14.25" customHeight="1" x14ac:dyDescent="0.35">
      <c r="I231" s="32"/>
    </row>
    <row r="232" spans="9:9" ht="14.25" customHeight="1" x14ac:dyDescent="0.35">
      <c r="I232" s="32"/>
    </row>
    <row r="233" spans="9:9" ht="14.25" customHeight="1" x14ac:dyDescent="0.35">
      <c r="I233" s="32"/>
    </row>
    <row r="234" spans="9:9" ht="14.25" customHeight="1" x14ac:dyDescent="0.35">
      <c r="I234" s="32"/>
    </row>
    <row r="235" spans="9:9" ht="14.25" customHeight="1" x14ac:dyDescent="0.35">
      <c r="I235" s="32"/>
    </row>
    <row r="236" spans="9:9" ht="14.25" customHeight="1" x14ac:dyDescent="0.35">
      <c r="I236" s="32"/>
    </row>
    <row r="237" spans="9:9" ht="14.25" customHeight="1" x14ac:dyDescent="0.35">
      <c r="I237" s="32"/>
    </row>
    <row r="238" spans="9:9" ht="14.25" customHeight="1" x14ac:dyDescent="0.35">
      <c r="I238" s="32"/>
    </row>
    <row r="239" spans="9:9" ht="14.25" customHeight="1" x14ac:dyDescent="0.35">
      <c r="I239" s="32"/>
    </row>
    <row r="240" spans="9:9" ht="14.25" customHeight="1" x14ac:dyDescent="0.35">
      <c r="I240" s="32"/>
    </row>
    <row r="241" spans="9:9" ht="14.25" customHeight="1" x14ac:dyDescent="0.35">
      <c r="I241" s="32"/>
    </row>
    <row r="242" spans="9:9" ht="14.25" customHeight="1" x14ac:dyDescent="0.35">
      <c r="I242" s="32"/>
    </row>
    <row r="243" spans="9:9" ht="14.25" customHeight="1" x14ac:dyDescent="0.35">
      <c r="I243" s="32"/>
    </row>
    <row r="244" spans="9:9" ht="14.25" customHeight="1" x14ac:dyDescent="0.35">
      <c r="I244" s="32"/>
    </row>
    <row r="245" spans="9:9" ht="14.25" customHeight="1" x14ac:dyDescent="0.35">
      <c r="I245" s="32"/>
    </row>
    <row r="246" spans="9:9" ht="14.25" customHeight="1" x14ac:dyDescent="0.35">
      <c r="I246" s="32"/>
    </row>
    <row r="247" spans="9:9" ht="14.25" customHeight="1" x14ac:dyDescent="0.35">
      <c r="I247" s="32"/>
    </row>
    <row r="248" spans="9:9" ht="14.25" customHeight="1" x14ac:dyDescent="0.35">
      <c r="I248" s="32"/>
    </row>
    <row r="249" spans="9:9" ht="14.25" customHeight="1" x14ac:dyDescent="0.35">
      <c r="I249" s="32"/>
    </row>
    <row r="250" spans="9:9" ht="14.25" customHeight="1" x14ac:dyDescent="0.35">
      <c r="I250" s="32"/>
    </row>
    <row r="251" spans="9:9" ht="14.25" customHeight="1" x14ac:dyDescent="0.35">
      <c r="I251" s="32"/>
    </row>
    <row r="252" spans="9:9" ht="14.25" customHeight="1" x14ac:dyDescent="0.35">
      <c r="I252" s="32"/>
    </row>
    <row r="253" spans="9:9" ht="14.25" customHeight="1" x14ac:dyDescent="0.35">
      <c r="I253" s="32"/>
    </row>
    <row r="254" spans="9:9" ht="14.25" customHeight="1" x14ac:dyDescent="0.35">
      <c r="I254" s="32"/>
    </row>
    <row r="255" spans="9:9" ht="14.25" customHeight="1" x14ac:dyDescent="0.35">
      <c r="I255" s="32"/>
    </row>
    <row r="256" spans="9:9" ht="14.25" customHeight="1" x14ac:dyDescent="0.35">
      <c r="I256" s="32"/>
    </row>
    <row r="257" spans="9:9" ht="14.25" customHeight="1" x14ac:dyDescent="0.35">
      <c r="I257" s="32"/>
    </row>
    <row r="258" spans="9:9" ht="14.25" customHeight="1" x14ac:dyDescent="0.35">
      <c r="I258" s="32"/>
    </row>
    <row r="259" spans="9:9" ht="14.25" customHeight="1" x14ac:dyDescent="0.35">
      <c r="I259" s="32"/>
    </row>
    <row r="260" spans="9:9" ht="14.25" customHeight="1" x14ac:dyDescent="0.35">
      <c r="I260" s="32"/>
    </row>
    <row r="261" spans="9:9" ht="14.25" customHeight="1" x14ac:dyDescent="0.35">
      <c r="I261" s="32"/>
    </row>
    <row r="262" spans="9:9" ht="14.25" customHeight="1" x14ac:dyDescent="0.35">
      <c r="I262" s="32"/>
    </row>
    <row r="263" spans="9:9" ht="14.25" customHeight="1" x14ac:dyDescent="0.35">
      <c r="I263" s="32"/>
    </row>
    <row r="264" spans="9:9" ht="14.25" customHeight="1" x14ac:dyDescent="0.35">
      <c r="I264" s="32"/>
    </row>
    <row r="265" spans="9:9" ht="14.25" customHeight="1" x14ac:dyDescent="0.35">
      <c r="I265" s="32"/>
    </row>
    <row r="266" spans="9:9" ht="14.25" customHeight="1" x14ac:dyDescent="0.35">
      <c r="I266" s="32"/>
    </row>
    <row r="267" spans="9:9" ht="14.25" customHeight="1" x14ac:dyDescent="0.35">
      <c r="I267" s="32"/>
    </row>
    <row r="268" spans="9:9" ht="14.25" customHeight="1" x14ac:dyDescent="0.35">
      <c r="I268" s="32"/>
    </row>
    <row r="269" spans="9:9" ht="14.25" customHeight="1" x14ac:dyDescent="0.35">
      <c r="I269" s="32"/>
    </row>
    <row r="270" spans="9:9" ht="14.25" customHeight="1" x14ac:dyDescent="0.35">
      <c r="I270" s="32"/>
    </row>
    <row r="271" spans="9:9" ht="14.25" customHeight="1" x14ac:dyDescent="0.35">
      <c r="I271" s="32"/>
    </row>
    <row r="272" spans="9:9" ht="14.25" customHeight="1" x14ac:dyDescent="0.35">
      <c r="I272" s="32"/>
    </row>
    <row r="273" spans="9:9" ht="14.25" customHeight="1" x14ac:dyDescent="0.35">
      <c r="I273" s="32"/>
    </row>
    <row r="274" spans="9:9" ht="14.25" customHeight="1" x14ac:dyDescent="0.35">
      <c r="I274" s="32"/>
    </row>
    <row r="275" spans="9:9" ht="14.25" customHeight="1" x14ac:dyDescent="0.35">
      <c r="I275" s="32"/>
    </row>
    <row r="276" spans="9:9" ht="14.25" customHeight="1" x14ac:dyDescent="0.35">
      <c r="I276" s="32"/>
    </row>
    <row r="277" spans="9:9" ht="14.25" customHeight="1" x14ac:dyDescent="0.35">
      <c r="I277" s="32"/>
    </row>
    <row r="278" spans="9:9" ht="14.25" customHeight="1" x14ac:dyDescent="0.35">
      <c r="I278" s="32"/>
    </row>
    <row r="279" spans="9:9" ht="14.25" customHeight="1" x14ac:dyDescent="0.35">
      <c r="I279" s="32"/>
    </row>
    <row r="280" spans="9:9" ht="14.25" customHeight="1" x14ac:dyDescent="0.35">
      <c r="I280" s="32"/>
    </row>
    <row r="281" spans="9:9" ht="14.25" customHeight="1" x14ac:dyDescent="0.35">
      <c r="I281" s="32"/>
    </row>
    <row r="282" spans="9:9" ht="14.25" customHeight="1" x14ac:dyDescent="0.35">
      <c r="I282" s="32"/>
    </row>
    <row r="283" spans="9:9" ht="14.25" customHeight="1" x14ac:dyDescent="0.35">
      <c r="I283" s="32"/>
    </row>
    <row r="284" spans="9:9" ht="14.25" customHeight="1" x14ac:dyDescent="0.35">
      <c r="I284" s="32"/>
    </row>
    <row r="285" spans="9:9" ht="14.25" customHeight="1" x14ac:dyDescent="0.35">
      <c r="I285" s="32"/>
    </row>
    <row r="286" spans="9:9" ht="14.25" customHeight="1" x14ac:dyDescent="0.35">
      <c r="I286" s="32"/>
    </row>
    <row r="287" spans="9:9" ht="14.25" customHeight="1" x14ac:dyDescent="0.35">
      <c r="I287" s="32"/>
    </row>
    <row r="288" spans="9:9" ht="14.25" customHeight="1" x14ac:dyDescent="0.35">
      <c r="I288" s="32"/>
    </row>
    <row r="289" spans="9:9" ht="14.25" customHeight="1" x14ac:dyDescent="0.35">
      <c r="I289" s="32"/>
    </row>
    <row r="290" spans="9:9" ht="14.25" customHeight="1" x14ac:dyDescent="0.35">
      <c r="I290" s="32"/>
    </row>
    <row r="291" spans="9:9" ht="14.25" customHeight="1" x14ac:dyDescent="0.35">
      <c r="I291" s="32"/>
    </row>
    <row r="292" spans="9:9" ht="14.25" customHeight="1" x14ac:dyDescent="0.35">
      <c r="I292" s="32"/>
    </row>
    <row r="293" spans="9:9" ht="14.25" customHeight="1" x14ac:dyDescent="0.35">
      <c r="I293" s="32"/>
    </row>
    <row r="294" spans="9:9" ht="14.25" customHeight="1" x14ac:dyDescent="0.35">
      <c r="I294" s="32"/>
    </row>
    <row r="295" spans="9:9" ht="14.25" customHeight="1" x14ac:dyDescent="0.35">
      <c r="I295" s="32"/>
    </row>
    <row r="296" spans="9:9" ht="14.25" customHeight="1" x14ac:dyDescent="0.35">
      <c r="I296" s="32"/>
    </row>
    <row r="297" spans="9:9" ht="14.25" customHeight="1" x14ac:dyDescent="0.35">
      <c r="I297" s="32"/>
    </row>
    <row r="298" spans="9:9" ht="14.25" customHeight="1" x14ac:dyDescent="0.35">
      <c r="I298" s="32"/>
    </row>
    <row r="299" spans="9:9" ht="14.25" customHeight="1" x14ac:dyDescent="0.35">
      <c r="I299" s="32"/>
    </row>
    <row r="300" spans="9:9" ht="14.25" customHeight="1" x14ac:dyDescent="0.35">
      <c r="I300" s="32"/>
    </row>
    <row r="301" spans="9:9" ht="14.25" customHeight="1" x14ac:dyDescent="0.35">
      <c r="I301" s="32"/>
    </row>
    <row r="302" spans="9:9" ht="14.25" customHeight="1" x14ac:dyDescent="0.35">
      <c r="I302" s="32"/>
    </row>
    <row r="303" spans="9:9" ht="14.25" customHeight="1" x14ac:dyDescent="0.35">
      <c r="I303" s="32"/>
    </row>
    <row r="304" spans="9:9" ht="14.25" customHeight="1" x14ac:dyDescent="0.35">
      <c r="I304" s="32"/>
    </row>
    <row r="305" spans="9:9" ht="14.25" customHeight="1" x14ac:dyDescent="0.35">
      <c r="I305" s="32"/>
    </row>
    <row r="306" spans="9:9" ht="14.25" customHeight="1" x14ac:dyDescent="0.35">
      <c r="I306" s="32"/>
    </row>
    <row r="307" spans="9:9" ht="14.25" customHeight="1" x14ac:dyDescent="0.35">
      <c r="I307" s="32"/>
    </row>
    <row r="308" spans="9:9" ht="14.25" customHeight="1" x14ac:dyDescent="0.35">
      <c r="I308" s="32"/>
    </row>
    <row r="309" spans="9:9" ht="14.25" customHeight="1" x14ac:dyDescent="0.35">
      <c r="I309" s="32"/>
    </row>
    <row r="310" spans="9:9" ht="14.25" customHeight="1" x14ac:dyDescent="0.35">
      <c r="I310" s="32"/>
    </row>
    <row r="311" spans="9:9" ht="14.25" customHeight="1" x14ac:dyDescent="0.35">
      <c r="I311" s="32"/>
    </row>
    <row r="312" spans="9:9" ht="14.25" customHeight="1" x14ac:dyDescent="0.35">
      <c r="I312" s="32"/>
    </row>
    <row r="313" spans="9:9" ht="14.25" customHeight="1" x14ac:dyDescent="0.35">
      <c r="I313" s="32"/>
    </row>
    <row r="314" spans="9:9" ht="14.25" customHeight="1" x14ac:dyDescent="0.35">
      <c r="I314" s="32"/>
    </row>
    <row r="315" spans="9:9" ht="14.25" customHeight="1" x14ac:dyDescent="0.35">
      <c r="I315" s="32"/>
    </row>
    <row r="316" spans="9:9" ht="14.25" customHeight="1" x14ac:dyDescent="0.35">
      <c r="I316" s="32"/>
    </row>
    <row r="317" spans="9:9" ht="14.25" customHeight="1" x14ac:dyDescent="0.35">
      <c r="I317" s="32"/>
    </row>
    <row r="318" spans="9:9" ht="14.25" customHeight="1" x14ac:dyDescent="0.35">
      <c r="I318" s="32"/>
    </row>
    <row r="319" spans="9:9" ht="14.25" customHeight="1" x14ac:dyDescent="0.35">
      <c r="I319" s="32"/>
    </row>
    <row r="320" spans="9:9" ht="14.25" customHeight="1" x14ac:dyDescent="0.35">
      <c r="I320" s="32"/>
    </row>
    <row r="321" spans="9:9" ht="14.25" customHeight="1" x14ac:dyDescent="0.35">
      <c r="I321" s="32"/>
    </row>
    <row r="322" spans="9:9" ht="14.25" customHeight="1" x14ac:dyDescent="0.35">
      <c r="I322" s="32"/>
    </row>
    <row r="323" spans="9:9" ht="14.25" customHeight="1" x14ac:dyDescent="0.35">
      <c r="I323" s="32"/>
    </row>
    <row r="324" spans="9:9" ht="14.25" customHeight="1" x14ac:dyDescent="0.35">
      <c r="I324" s="32"/>
    </row>
    <row r="325" spans="9:9" ht="14.25" customHeight="1" x14ac:dyDescent="0.35">
      <c r="I325" s="32"/>
    </row>
    <row r="326" spans="9:9" ht="14.25" customHeight="1" x14ac:dyDescent="0.35">
      <c r="I326" s="32"/>
    </row>
    <row r="327" spans="9:9" ht="14.25" customHeight="1" x14ac:dyDescent="0.35">
      <c r="I327" s="32"/>
    </row>
    <row r="328" spans="9:9" ht="14.25" customHeight="1" x14ac:dyDescent="0.35">
      <c r="I328" s="32"/>
    </row>
    <row r="329" spans="9:9" ht="14.25" customHeight="1" x14ac:dyDescent="0.35">
      <c r="I329" s="32"/>
    </row>
    <row r="330" spans="9:9" ht="14.25" customHeight="1" x14ac:dyDescent="0.35">
      <c r="I330" s="32"/>
    </row>
    <row r="331" spans="9:9" ht="14.25" customHeight="1" x14ac:dyDescent="0.35">
      <c r="I331" s="32"/>
    </row>
    <row r="332" spans="9:9" ht="14.25" customHeight="1" x14ac:dyDescent="0.35">
      <c r="I332" s="32"/>
    </row>
    <row r="333" spans="9:9" ht="14.25" customHeight="1" x14ac:dyDescent="0.35">
      <c r="I333" s="32"/>
    </row>
    <row r="334" spans="9:9" ht="14.25" customHeight="1" x14ac:dyDescent="0.35">
      <c r="I334" s="32"/>
    </row>
    <row r="335" spans="9:9" ht="14.25" customHeight="1" x14ac:dyDescent="0.35">
      <c r="I335" s="32"/>
    </row>
    <row r="336" spans="9:9" ht="14.25" customHeight="1" x14ac:dyDescent="0.35">
      <c r="I336" s="32"/>
    </row>
    <row r="337" spans="9:9" ht="14.25" customHeight="1" x14ac:dyDescent="0.35">
      <c r="I337" s="32"/>
    </row>
    <row r="338" spans="9:9" ht="14.25" customHeight="1" x14ac:dyDescent="0.35">
      <c r="I338" s="32"/>
    </row>
    <row r="339" spans="9:9" ht="14.25" customHeight="1" x14ac:dyDescent="0.35">
      <c r="I339" s="32"/>
    </row>
    <row r="340" spans="9:9" ht="14.25" customHeight="1" x14ac:dyDescent="0.35">
      <c r="I340" s="32"/>
    </row>
    <row r="341" spans="9:9" ht="14.25" customHeight="1" x14ac:dyDescent="0.35">
      <c r="I341" s="32"/>
    </row>
    <row r="342" spans="9:9" ht="14.25" customHeight="1" x14ac:dyDescent="0.35">
      <c r="I342" s="32"/>
    </row>
    <row r="343" spans="9:9" ht="14.25" customHeight="1" x14ac:dyDescent="0.35">
      <c r="I343" s="32"/>
    </row>
    <row r="344" spans="9:9" ht="14.25" customHeight="1" x14ac:dyDescent="0.35">
      <c r="I344" s="32"/>
    </row>
    <row r="345" spans="9:9" ht="14.25" customHeight="1" x14ac:dyDescent="0.35">
      <c r="I345" s="32"/>
    </row>
    <row r="346" spans="9:9" ht="14.25" customHeight="1" x14ac:dyDescent="0.35">
      <c r="I346" s="32"/>
    </row>
    <row r="347" spans="9:9" ht="14.25" customHeight="1" x14ac:dyDescent="0.35">
      <c r="I347" s="32"/>
    </row>
    <row r="348" spans="9:9" ht="14.25" customHeight="1" x14ac:dyDescent="0.35">
      <c r="I348" s="32"/>
    </row>
    <row r="349" spans="9:9" ht="14.25" customHeight="1" x14ac:dyDescent="0.35">
      <c r="I349" s="32"/>
    </row>
    <row r="350" spans="9:9" ht="14.25" customHeight="1" x14ac:dyDescent="0.35">
      <c r="I350" s="32"/>
    </row>
    <row r="351" spans="9:9" ht="14.25" customHeight="1" x14ac:dyDescent="0.35">
      <c r="I351" s="32"/>
    </row>
    <row r="352" spans="9:9" ht="14.25" customHeight="1" x14ac:dyDescent="0.35">
      <c r="I352" s="32"/>
    </row>
    <row r="353" spans="9:9" ht="14.25" customHeight="1" x14ac:dyDescent="0.35">
      <c r="I353" s="32"/>
    </row>
    <row r="354" spans="9:9" ht="14.25" customHeight="1" x14ac:dyDescent="0.35">
      <c r="I354" s="32"/>
    </row>
    <row r="355" spans="9:9" ht="14.25" customHeight="1" x14ac:dyDescent="0.35">
      <c r="I355" s="32"/>
    </row>
    <row r="356" spans="9:9" ht="14.25" customHeight="1" x14ac:dyDescent="0.35">
      <c r="I356" s="32"/>
    </row>
    <row r="357" spans="9:9" ht="14.25" customHeight="1" x14ac:dyDescent="0.35">
      <c r="I357" s="32"/>
    </row>
    <row r="358" spans="9:9" ht="14.25" customHeight="1" x14ac:dyDescent="0.35">
      <c r="I358" s="32"/>
    </row>
    <row r="359" spans="9:9" ht="14.25" customHeight="1" x14ac:dyDescent="0.35">
      <c r="I359" s="32"/>
    </row>
    <row r="360" spans="9:9" ht="14.25" customHeight="1" x14ac:dyDescent="0.35">
      <c r="I360" s="32"/>
    </row>
    <row r="361" spans="9:9" ht="14.25" customHeight="1" x14ac:dyDescent="0.35">
      <c r="I361" s="32"/>
    </row>
    <row r="362" spans="9:9" ht="14.25" customHeight="1" x14ac:dyDescent="0.35">
      <c r="I362" s="32"/>
    </row>
    <row r="363" spans="9:9" ht="14.25" customHeight="1" x14ac:dyDescent="0.35">
      <c r="I363" s="32"/>
    </row>
    <row r="364" spans="9:9" ht="14.25" customHeight="1" x14ac:dyDescent="0.35">
      <c r="I364" s="32"/>
    </row>
    <row r="365" spans="9:9" ht="14.25" customHeight="1" x14ac:dyDescent="0.35">
      <c r="I365" s="32"/>
    </row>
    <row r="366" spans="9:9" ht="14.25" customHeight="1" x14ac:dyDescent="0.35">
      <c r="I366" s="32"/>
    </row>
    <row r="367" spans="9:9" ht="14.25" customHeight="1" x14ac:dyDescent="0.35">
      <c r="I367" s="32"/>
    </row>
    <row r="368" spans="9:9" ht="14.25" customHeight="1" x14ac:dyDescent="0.35">
      <c r="I368" s="32"/>
    </row>
    <row r="369" spans="9:9" ht="14.25" customHeight="1" x14ac:dyDescent="0.35">
      <c r="I369" s="32"/>
    </row>
    <row r="370" spans="9:9" ht="14.25" customHeight="1" x14ac:dyDescent="0.35">
      <c r="I370" s="32"/>
    </row>
    <row r="371" spans="9:9" ht="14.25" customHeight="1" x14ac:dyDescent="0.35">
      <c r="I371" s="32"/>
    </row>
    <row r="372" spans="9:9" ht="14.25" customHeight="1" x14ac:dyDescent="0.35">
      <c r="I372" s="32"/>
    </row>
    <row r="373" spans="9:9" ht="14.25" customHeight="1" x14ac:dyDescent="0.35">
      <c r="I373" s="32"/>
    </row>
    <row r="374" spans="9:9" ht="14.25" customHeight="1" x14ac:dyDescent="0.35">
      <c r="I374" s="32"/>
    </row>
    <row r="375" spans="9:9" ht="14.25" customHeight="1" x14ac:dyDescent="0.35">
      <c r="I375" s="32"/>
    </row>
    <row r="376" spans="9:9" ht="14.25" customHeight="1" x14ac:dyDescent="0.35">
      <c r="I376" s="32"/>
    </row>
    <row r="377" spans="9:9" ht="14.25" customHeight="1" x14ac:dyDescent="0.35">
      <c r="I377" s="32"/>
    </row>
    <row r="378" spans="9:9" ht="14.25" customHeight="1" x14ac:dyDescent="0.35">
      <c r="I378" s="32"/>
    </row>
    <row r="379" spans="9:9" ht="14.25" customHeight="1" x14ac:dyDescent="0.35">
      <c r="I379" s="32"/>
    </row>
    <row r="380" spans="9:9" ht="14.25" customHeight="1" x14ac:dyDescent="0.35">
      <c r="I380" s="32"/>
    </row>
    <row r="381" spans="9:9" ht="14.25" customHeight="1" x14ac:dyDescent="0.35">
      <c r="I381" s="32"/>
    </row>
    <row r="382" spans="9:9" ht="14.25" customHeight="1" x14ac:dyDescent="0.35">
      <c r="I382" s="32"/>
    </row>
    <row r="383" spans="9:9" ht="14.25" customHeight="1" x14ac:dyDescent="0.35">
      <c r="I383" s="32"/>
    </row>
    <row r="384" spans="9:9" ht="14.25" customHeight="1" x14ac:dyDescent="0.35">
      <c r="I384" s="32"/>
    </row>
    <row r="385" spans="9:9" ht="14.25" customHeight="1" x14ac:dyDescent="0.35">
      <c r="I385" s="32"/>
    </row>
    <row r="386" spans="9:9" ht="14.25" customHeight="1" x14ac:dyDescent="0.35">
      <c r="I386" s="32"/>
    </row>
    <row r="387" spans="9:9" ht="14.25" customHeight="1" x14ac:dyDescent="0.35">
      <c r="I387" s="32"/>
    </row>
    <row r="388" spans="9:9" ht="14.25" customHeight="1" x14ac:dyDescent="0.35">
      <c r="I388" s="32"/>
    </row>
    <row r="389" spans="9:9" ht="14.25" customHeight="1" x14ac:dyDescent="0.35">
      <c r="I389" s="32"/>
    </row>
    <row r="390" spans="9:9" ht="14.25" customHeight="1" x14ac:dyDescent="0.35">
      <c r="I390" s="32"/>
    </row>
    <row r="391" spans="9:9" ht="14.25" customHeight="1" x14ac:dyDescent="0.35">
      <c r="I391" s="32"/>
    </row>
    <row r="392" spans="9:9" ht="14.25" customHeight="1" x14ac:dyDescent="0.35">
      <c r="I392" s="32"/>
    </row>
    <row r="393" spans="9:9" ht="14.25" customHeight="1" x14ac:dyDescent="0.35">
      <c r="I393" s="32"/>
    </row>
    <row r="394" spans="9:9" ht="14.25" customHeight="1" x14ac:dyDescent="0.35">
      <c r="I394" s="32"/>
    </row>
    <row r="395" spans="9:9" ht="14.25" customHeight="1" x14ac:dyDescent="0.35">
      <c r="I395" s="32"/>
    </row>
    <row r="396" spans="9:9" ht="14.25" customHeight="1" x14ac:dyDescent="0.35">
      <c r="I396" s="32"/>
    </row>
    <row r="397" spans="9:9" ht="14.25" customHeight="1" x14ac:dyDescent="0.35">
      <c r="I397" s="32"/>
    </row>
    <row r="398" spans="9:9" ht="14.25" customHeight="1" x14ac:dyDescent="0.35">
      <c r="I398" s="32"/>
    </row>
    <row r="399" spans="9:9" ht="14.25" customHeight="1" x14ac:dyDescent="0.35">
      <c r="I399" s="32"/>
    </row>
    <row r="400" spans="9:9" ht="14.25" customHeight="1" x14ac:dyDescent="0.35">
      <c r="I400" s="32"/>
    </row>
    <row r="401" spans="9:9" ht="14.25" customHeight="1" x14ac:dyDescent="0.35">
      <c r="I401" s="32"/>
    </row>
    <row r="402" spans="9:9" ht="14.25" customHeight="1" x14ac:dyDescent="0.35">
      <c r="I402" s="32"/>
    </row>
    <row r="403" spans="9:9" ht="14.25" customHeight="1" x14ac:dyDescent="0.35">
      <c r="I403" s="32"/>
    </row>
    <row r="404" spans="9:9" ht="14.25" customHeight="1" x14ac:dyDescent="0.35">
      <c r="I404" s="32"/>
    </row>
    <row r="405" spans="9:9" ht="14.25" customHeight="1" x14ac:dyDescent="0.35">
      <c r="I405" s="32"/>
    </row>
    <row r="406" spans="9:9" ht="14.25" customHeight="1" x14ac:dyDescent="0.35">
      <c r="I406" s="32"/>
    </row>
    <row r="407" spans="9:9" ht="14.25" customHeight="1" x14ac:dyDescent="0.35">
      <c r="I407" s="32"/>
    </row>
    <row r="408" spans="9:9" ht="14.25" customHeight="1" x14ac:dyDescent="0.35">
      <c r="I408" s="32"/>
    </row>
    <row r="409" spans="9:9" ht="14.25" customHeight="1" x14ac:dyDescent="0.35">
      <c r="I409" s="32"/>
    </row>
    <row r="410" spans="9:9" ht="14.25" customHeight="1" x14ac:dyDescent="0.35">
      <c r="I410" s="32"/>
    </row>
    <row r="411" spans="9:9" ht="14.25" customHeight="1" x14ac:dyDescent="0.35">
      <c r="I411" s="32"/>
    </row>
    <row r="412" spans="9:9" ht="14.25" customHeight="1" x14ac:dyDescent="0.35">
      <c r="I412" s="32"/>
    </row>
    <row r="413" spans="9:9" ht="14.25" customHeight="1" x14ac:dyDescent="0.35">
      <c r="I413" s="32"/>
    </row>
    <row r="414" spans="9:9" ht="14.25" customHeight="1" x14ac:dyDescent="0.35">
      <c r="I414" s="32"/>
    </row>
    <row r="415" spans="9:9" ht="14.25" customHeight="1" x14ac:dyDescent="0.35">
      <c r="I415" s="32"/>
    </row>
    <row r="416" spans="9:9" ht="14.25" customHeight="1" x14ac:dyDescent="0.35">
      <c r="I416" s="32"/>
    </row>
    <row r="417" spans="9:9" ht="14.25" customHeight="1" x14ac:dyDescent="0.35">
      <c r="I417" s="32"/>
    </row>
    <row r="418" spans="9:9" ht="14.25" customHeight="1" x14ac:dyDescent="0.35">
      <c r="I418" s="32"/>
    </row>
    <row r="419" spans="9:9" ht="14.25" customHeight="1" x14ac:dyDescent="0.35">
      <c r="I419" s="32"/>
    </row>
    <row r="420" spans="9:9" ht="14.25" customHeight="1" x14ac:dyDescent="0.35">
      <c r="I420" s="32"/>
    </row>
    <row r="421" spans="9:9" ht="14.25" customHeight="1" x14ac:dyDescent="0.35">
      <c r="I421" s="32"/>
    </row>
    <row r="422" spans="9:9" ht="14.25" customHeight="1" x14ac:dyDescent="0.35">
      <c r="I422" s="32"/>
    </row>
    <row r="423" spans="9:9" ht="14.25" customHeight="1" x14ac:dyDescent="0.35">
      <c r="I423" s="32"/>
    </row>
    <row r="424" spans="9:9" ht="14.25" customHeight="1" x14ac:dyDescent="0.35">
      <c r="I424" s="32"/>
    </row>
    <row r="425" spans="9:9" ht="14.25" customHeight="1" x14ac:dyDescent="0.35">
      <c r="I425" s="32"/>
    </row>
    <row r="426" spans="9:9" ht="14.25" customHeight="1" x14ac:dyDescent="0.35">
      <c r="I426" s="32"/>
    </row>
    <row r="427" spans="9:9" ht="14.25" customHeight="1" x14ac:dyDescent="0.35">
      <c r="I427" s="32"/>
    </row>
    <row r="428" spans="9:9" ht="14.25" customHeight="1" x14ac:dyDescent="0.35">
      <c r="I428" s="32"/>
    </row>
    <row r="429" spans="9:9" ht="14.25" customHeight="1" x14ac:dyDescent="0.35">
      <c r="I429" s="32"/>
    </row>
    <row r="430" spans="9:9" ht="14.25" customHeight="1" x14ac:dyDescent="0.35">
      <c r="I430" s="32"/>
    </row>
    <row r="431" spans="9:9" ht="14.25" customHeight="1" x14ac:dyDescent="0.35">
      <c r="I431" s="32"/>
    </row>
    <row r="432" spans="9:9" ht="14.25" customHeight="1" x14ac:dyDescent="0.35">
      <c r="I432" s="32"/>
    </row>
    <row r="433" spans="9:9" ht="14.25" customHeight="1" x14ac:dyDescent="0.35">
      <c r="I433" s="32"/>
    </row>
    <row r="434" spans="9:9" ht="14.25" customHeight="1" x14ac:dyDescent="0.35">
      <c r="I434" s="32"/>
    </row>
    <row r="435" spans="9:9" ht="14.25" customHeight="1" x14ac:dyDescent="0.35">
      <c r="I435" s="32"/>
    </row>
    <row r="436" spans="9:9" ht="14.25" customHeight="1" x14ac:dyDescent="0.35">
      <c r="I436" s="32"/>
    </row>
    <row r="437" spans="9:9" ht="14.25" customHeight="1" x14ac:dyDescent="0.35">
      <c r="I437" s="32"/>
    </row>
    <row r="438" spans="9:9" ht="14.25" customHeight="1" x14ac:dyDescent="0.35">
      <c r="I438" s="32"/>
    </row>
    <row r="439" spans="9:9" ht="14.25" customHeight="1" x14ac:dyDescent="0.35">
      <c r="I439" s="32"/>
    </row>
    <row r="440" spans="9:9" ht="14.25" customHeight="1" x14ac:dyDescent="0.35">
      <c r="I440" s="32"/>
    </row>
    <row r="441" spans="9:9" ht="14.25" customHeight="1" x14ac:dyDescent="0.35">
      <c r="I441" s="32"/>
    </row>
    <row r="442" spans="9:9" ht="14.25" customHeight="1" x14ac:dyDescent="0.35">
      <c r="I442" s="32"/>
    </row>
    <row r="443" spans="9:9" ht="14.25" customHeight="1" x14ac:dyDescent="0.35">
      <c r="I443" s="32"/>
    </row>
    <row r="444" spans="9:9" ht="14.25" customHeight="1" x14ac:dyDescent="0.35">
      <c r="I444" s="32"/>
    </row>
    <row r="445" spans="9:9" ht="14.25" customHeight="1" x14ac:dyDescent="0.35">
      <c r="I445" s="32"/>
    </row>
    <row r="446" spans="9:9" ht="14.25" customHeight="1" x14ac:dyDescent="0.35">
      <c r="I446" s="32"/>
    </row>
    <row r="447" spans="9:9" ht="14.25" customHeight="1" x14ac:dyDescent="0.35">
      <c r="I447" s="32"/>
    </row>
    <row r="448" spans="9:9" ht="14.25" customHeight="1" x14ac:dyDescent="0.35">
      <c r="I448" s="32"/>
    </row>
    <row r="449" spans="9:9" ht="14.25" customHeight="1" x14ac:dyDescent="0.35">
      <c r="I449" s="32"/>
    </row>
    <row r="450" spans="9:9" ht="14.25" customHeight="1" x14ac:dyDescent="0.35">
      <c r="I450" s="32"/>
    </row>
    <row r="451" spans="9:9" ht="14.25" customHeight="1" x14ac:dyDescent="0.35">
      <c r="I451" s="32"/>
    </row>
    <row r="452" spans="9:9" ht="14.25" customHeight="1" x14ac:dyDescent="0.35">
      <c r="I452" s="32"/>
    </row>
    <row r="453" spans="9:9" ht="14.25" customHeight="1" x14ac:dyDescent="0.35">
      <c r="I453" s="32"/>
    </row>
    <row r="454" spans="9:9" ht="14.25" customHeight="1" x14ac:dyDescent="0.35">
      <c r="I454" s="32"/>
    </row>
    <row r="455" spans="9:9" ht="14.25" customHeight="1" x14ac:dyDescent="0.35">
      <c r="I455" s="32"/>
    </row>
    <row r="456" spans="9:9" ht="14.25" customHeight="1" x14ac:dyDescent="0.35">
      <c r="I456" s="32"/>
    </row>
    <row r="457" spans="9:9" ht="14.25" customHeight="1" x14ac:dyDescent="0.35">
      <c r="I457" s="32"/>
    </row>
    <row r="458" spans="9:9" ht="14.25" customHeight="1" x14ac:dyDescent="0.35">
      <c r="I458" s="32"/>
    </row>
    <row r="459" spans="9:9" ht="14.25" customHeight="1" x14ac:dyDescent="0.35">
      <c r="I459" s="32"/>
    </row>
    <row r="460" spans="9:9" ht="14.25" customHeight="1" x14ac:dyDescent="0.35">
      <c r="I460" s="32"/>
    </row>
    <row r="461" spans="9:9" ht="14.25" customHeight="1" x14ac:dyDescent="0.35">
      <c r="I461" s="32"/>
    </row>
    <row r="462" spans="9:9" ht="14.25" customHeight="1" x14ac:dyDescent="0.35">
      <c r="I462" s="32"/>
    </row>
    <row r="463" spans="9:9" ht="14.25" customHeight="1" x14ac:dyDescent="0.35">
      <c r="I463" s="32"/>
    </row>
    <row r="464" spans="9:9" ht="14.25" customHeight="1" x14ac:dyDescent="0.35">
      <c r="I464" s="32"/>
    </row>
    <row r="465" spans="9:9" ht="14.25" customHeight="1" x14ac:dyDescent="0.35">
      <c r="I465" s="32"/>
    </row>
    <row r="466" spans="9:9" ht="14.25" customHeight="1" x14ac:dyDescent="0.35">
      <c r="I466" s="32"/>
    </row>
    <row r="467" spans="9:9" ht="14.25" customHeight="1" x14ac:dyDescent="0.35">
      <c r="I467" s="32"/>
    </row>
    <row r="468" spans="9:9" ht="14.25" customHeight="1" x14ac:dyDescent="0.35">
      <c r="I468" s="32"/>
    </row>
    <row r="469" spans="9:9" ht="14.25" customHeight="1" x14ac:dyDescent="0.35">
      <c r="I469" s="32"/>
    </row>
    <row r="470" spans="9:9" ht="14.25" customHeight="1" x14ac:dyDescent="0.35">
      <c r="I470" s="32"/>
    </row>
    <row r="471" spans="9:9" ht="14.25" customHeight="1" x14ac:dyDescent="0.35">
      <c r="I471" s="32"/>
    </row>
    <row r="472" spans="9:9" ht="14.25" customHeight="1" x14ac:dyDescent="0.35">
      <c r="I472" s="32"/>
    </row>
    <row r="473" spans="9:9" ht="14.25" customHeight="1" x14ac:dyDescent="0.35">
      <c r="I473" s="32"/>
    </row>
    <row r="474" spans="9:9" ht="14.25" customHeight="1" x14ac:dyDescent="0.35">
      <c r="I474" s="32"/>
    </row>
    <row r="475" spans="9:9" ht="14.25" customHeight="1" x14ac:dyDescent="0.35">
      <c r="I475" s="32"/>
    </row>
    <row r="476" spans="9:9" ht="14.25" customHeight="1" x14ac:dyDescent="0.35">
      <c r="I476" s="32"/>
    </row>
    <row r="477" spans="9:9" ht="14.25" customHeight="1" x14ac:dyDescent="0.35">
      <c r="I477" s="32"/>
    </row>
    <row r="478" spans="9:9" ht="14.25" customHeight="1" x14ac:dyDescent="0.35">
      <c r="I478" s="32"/>
    </row>
    <row r="479" spans="9:9" ht="14.25" customHeight="1" x14ac:dyDescent="0.35">
      <c r="I479" s="32"/>
    </row>
    <row r="480" spans="9:9" ht="14.25" customHeight="1" x14ac:dyDescent="0.35">
      <c r="I480" s="32"/>
    </row>
    <row r="481" spans="9:9" ht="14.25" customHeight="1" x14ac:dyDescent="0.35">
      <c r="I481" s="32"/>
    </row>
    <row r="482" spans="9:9" ht="14.25" customHeight="1" x14ac:dyDescent="0.35">
      <c r="I482" s="32"/>
    </row>
    <row r="483" spans="9:9" ht="14.25" customHeight="1" x14ac:dyDescent="0.35">
      <c r="I483" s="32"/>
    </row>
    <row r="484" spans="9:9" ht="14.25" customHeight="1" x14ac:dyDescent="0.35">
      <c r="I484" s="32"/>
    </row>
    <row r="485" spans="9:9" ht="14.25" customHeight="1" x14ac:dyDescent="0.35">
      <c r="I485" s="32"/>
    </row>
    <row r="486" spans="9:9" ht="14.25" customHeight="1" x14ac:dyDescent="0.35">
      <c r="I486" s="32"/>
    </row>
    <row r="487" spans="9:9" ht="14.25" customHeight="1" x14ac:dyDescent="0.35">
      <c r="I487" s="32"/>
    </row>
    <row r="488" spans="9:9" ht="14.25" customHeight="1" x14ac:dyDescent="0.35">
      <c r="I488" s="32"/>
    </row>
    <row r="489" spans="9:9" ht="14.25" customHeight="1" x14ac:dyDescent="0.35">
      <c r="I489" s="32"/>
    </row>
    <row r="490" spans="9:9" ht="14.25" customHeight="1" x14ac:dyDescent="0.35">
      <c r="I490" s="32"/>
    </row>
    <row r="491" spans="9:9" ht="14.25" customHeight="1" x14ac:dyDescent="0.35">
      <c r="I491" s="32"/>
    </row>
    <row r="492" spans="9:9" ht="14.25" customHeight="1" x14ac:dyDescent="0.35">
      <c r="I492" s="32"/>
    </row>
    <row r="493" spans="9:9" ht="14.25" customHeight="1" x14ac:dyDescent="0.35">
      <c r="I493" s="32"/>
    </row>
    <row r="494" spans="9:9" ht="14.25" customHeight="1" x14ac:dyDescent="0.35">
      <c r="I494" s="32"/>
    </row>
    <row r="495" spans="9:9" ht="14.25" customHeight="1" x14ac:dyDescent="0.35">
      <c r="I495" s="32"/>
    </row>
    <row r="496" spans="9:9" ht="14.25" customHeight="1" x14ac:dyDescent="0.35">
      <c r="I496" s="32"/>
    </row>
    <row r="497" spans="9:9" ht="14.25" customHeight="1" x14ac:dyDescent="0.35">
      <c r="I497" s="32"/>
    </row>
    <row r="498" spans="9:9" ht="14.25" customHeight="1" x14ac:dyDescent="0.35">
      <c r="I498" s="32"/>
    </row>
    <row r="499" spans="9:9" ht="14.25" customHeight="1" x14ac:dyDescent="0.35">
      <c r="I499" s="32"/>
    </row>
    <row r="500" spans="9:9" ht="14.25" customHeight="1" x14ac:dyDescent="0.35">
      <c r="I500" s="32"/>
    </row>
    <row r="501" spans="9:9" ht="14.25" customHeight="1" x14ac:dyDescent="0.35">
      <c r="I501" s="32"/>
    </row>
    <row r="502" spans="9:9" ht="14.25" customHeight="1" x14ac:dyDescent="0.35">
      <c r="I502" s="32"/>
    </row>
    <row r="503" spans="9:9" ht="14.25" customHeight="1" x14ac:dyDescent="0.35">
      <c r="I503" s="32"/>
    </row>
    <row r="504" spans="9:9" ht="14.25" customHeight="1" x14ac:dyDescent="0.35">
      <c r="I504" s="32"/>
    </row>
    <row r="505" spans="9:9" ht="14.25" customHeight="1" x14ac:dyDescent="0.35">
      <c r="I505" s="32"/>
    </row>
    <row r="506" spans="9:9" ht="14.25" customHeight="1" x14ac:dyDescent="0.35">
      <c r="I506" s="32"/>
    </row>
    <row r="507" spans="9:9" ht="14.25" customHeight="1" x14ac:dyDescent="0.35">
      <c r="I507" s="32"/>
    </row>
    <row r="508" spans="9:9" ht="14.25" customHeight="1" x14ac:dyDescent="0.35">
      <c r="I508" s="32"/>
    </row>
    <row r="509" spans="9:9" ht="14.25" customHeight="1" x14ac:dyDescent="0.35">
      <c r="I509" s="32"/>
    </row>
    <row r="510" spans="9:9" ht="14.25" customHeight="1" x14ac:dyDescent="0.35">
      <c r="I510" s="32"/>
    </row>
    <row r="511" spans="9:9" ht="14.25" customHeight="1" x14ac:dyDescent="0.35">
      <c r="I511" s="32"/>
    </row>
    <row r="512" spans="9:9" ht="14.25" customHeight="1" x14ac:dyDescent="0.35">
      <c r="I512" s="32"/>
    </row>
    <row r="513" spans="9:9" ht="14.25" customHeight="1" x14ac:dyDescent="0.35">
      <c r="I513" s="32"/>
    </row>
    <row r="514" spans="9:9" ht="14.25" customHeight="1" x14ac:dyDescent="0.35">
      <c r="I514" s="32"/>
    </row>
    <row r="515" spans="9:9" ht="14.25" customHeight="1" x14ac:dyDescent="0.35">
      <c r="I515" s="32"/>
    </row>
    <row r="516" spans="9:9" ht="14.25" customHeight="1" x14ac:dyDescent="0.35">
      <c r="I516" s="32"/>
    </row>
    <row r="517" spans="9:9" ht="14.25" customHeight="1" x14ac:dyDescent="0.35">
      <c r="I517" s="32"/>
    </row>
    <row r="518" spans="9:9" ht="14.25" customHeight="1" x14ac:dyDescent="0.35">
      <c r="I518" s="32"/>
    </row>
    <row r="519" spans="9:9" ht="14.25" customHeight="1" x14ac:dyDescent="0.35">
      <c r="I519" s="32"/>
    </row>
    <row r="520" spans="9:9" ht="14.25" customHeight="1" x14ac:dyDescent="0.35">
      <c r="I520" s="32"/>
    </row>
    <row r="521" spans="9:9" ht="14.25" customHeight="1" x14ac:dyDescent="0.35">
      <c r="I521" s="32"/>
    </row>
    <row r="522" spans="9:9" ht="14.25" customHeight="1" x14ac:dyDescent="0.35">
      <c r="I522" s="32"/>
    </row>
    <row r="523" spans="9:9" ht="14.25" customHeight="1" x14ac:dyDescent="0.35">
      <c r="I523" s="32"/>
    </row>
    <row r="524" spans="9:9" ht="14.25" customHeight="1" x14ac:dyDescent="0.35">
      <c r="I524" s="32"/>
    </row>
    <row r="525" spans="9:9" ht="14.25" customHeight="1" x14ac:dyDescent="0.35">
      <c r="I525" s="32"/>
    </row>
    <row r="526" spans="9:9" ht="14.25" customHeight="1" x14ac:dyDescent="0.35">
      <c r="I526" s="32"/>
    </row>
    <row r="527" spans="9:9" ht="14.25" customHeight="1" x14ac:dyDescent="0.35">
      <c r="I527" s="32"/>
    </row>
    <row r="528" spans="9:9" ht="14.25" customHeight="1" x14ac:dyDescent="0.35">
      <c r="I528" s="32"/>
    </row>
    <row r="529" spans="9:9" ht="14.25" customHeight="1" x14ac:dyDescent="0.35">
      <c r="I529" s="32"/>
    </row>
    <row r="530" spans="9:9" ht="14.25" customHeight="1" x14ac:dyDescent="0.35">
      <c r="I530" s="32"/>
    </row>
    <row r="531" spans="9:9" ht="14.25" customHeight="1" x14ac:dyDescent="0.35">
      <c r="I531" s="32"/>
    </row>
    <row r="532" spans="9:9" ht="14.25" customHeight="1" x14ac:dyDescent="0.35">
      <c r="I532" s="32"/>
    </row>
    <row r="533" spans="9:9" ht="14.25" customHeight="1" x14ac:dyDescent="0.35">
      <c r="I533" s="32"/>
    </row>
    <row r="534" spans="9:9" ht="14.25" customHeight="1" x14ac:dyDescent="0.35">
      <c r="I534" s="32"/>
    </row>
    <row r="535" spans="9:9" ht="14.25" customHeight="1" x14ac:dyDescent="0.35">
      <c r="I535" s="32"/>
    </row>
    <row r="536" spans="9:9" ht="14.25" customHeight="1" x14ac:dyDescent="0.35">
      <c r="I536" s="32"/>
    </row>
    <row r="537" spans="9:9" ht="14.25" customHeight="1" x14ac:dyDescent="0.35">
      <c r="I537" s="32"/>
    </row>
    <row r="538" spans="9:9" ht="14.25" customHeight="1" x14ac:dyDescent="0.35">
      <c r="I538" s="32"/>
    </row>
    <row r="539" spans="9:9" ht="14.25" customHeight="1" x14ac:dyDescent="0.35">
      <c r="I539" s="32"/>
    </row>
    <row r="540" spans="9:9" ht="14.25" customHeight="1" x14ac:dyDescent="0.35">
      <c r="I540" s="32"/>
    </row>
    <row r="541" spans="9:9" ht="14.25" customHeight="1" x14ac:dyDescent="0.35">
      <c r="I541" s="32"/>
    </row>
    <row r="542" spans="9:9" ht="14.25" customHeight="1" x14ac:dyDescent="0.35">
      <c r="I542" s="32"/>
    </row>
    <row r="543" spans="9:9" ht="14.25" customHeight="1" x14ac:dyDescent="0.35">
      <c r="I543" s="32"/>
    </row>
    <row r="544" spans="9:9" ht="14.25" customHeight="1" x14ac:dyDescent="0.35">
      <c r="I544" s="32"/>
    </row>
    <row r="545" spans="9:9" ht="14.25" customHeight="1" x14ac:dyDescent="0.35">
      <c r="I545" s="32"/>
    </row>
    <row r="546" spans="9:9" ht="14.25" customHeight="1" x14ac:dyDescent="0.35">
      <c r="I546" s="32"/>
    </row>
    <row r="547" spans="9:9" ht="14.25" customHeight="1" x14ac:dyDescent="0.35">
      <c r="I547" s="32"/>
    </row>
    <row r="548" spans="9:9" ht="14.25" customHeight="1" x14ac:dyDescent="0.35">
      <c r="I548" s="32"/>
    </row>
    <row r="549" spans="9:9" ht="14.25" customHeight="1" x14ac:dyDescent="0.35">
      <c r="I549" s="32"/>
    </row>
    <row r="550" spans="9:9" ht="14.25" customHeight="1" x14ac:dyDescent="0.35">
      <c r="I550" s="32"/>
    </row>
    <row r="551" spans="9:9" ht="14.25" customHeight="1" x14ac:dyDescent="0.35">
      <c r="I551" s="32"/>
    </row>
    <row r="552" spans="9:9" ht="14.25" customHeight="1" x14ac:dyDescent="0.35">
      <c r="I552" s="32"/>
    </row>
    <row r="553" spans="9:9" ht="14.25" customHeight="1" x14ac:dyDescent="0.35">
      <c r="I553" s="32"/>
    </row>
    <row r="554" spans="9:9" ht="14.25" customHeight="1" x14ac:dyDescent="0.35">
      <c r="I554" s="32"/>
    </row>
    <row r="555" spans="9:9" ht="14.25" customHeight="1" x14ac:dyDescent="0.35">
      <c r="I555" s="32"/>
    </row>
    <row r="556" spans="9:9" ht="14.25" customHeight="1" x14ac:dyDescent="0.35">
      <c r="I556" s="32"/>
    </row>
    <row r="557" spans="9:9" ht="14.25" customHeight="1" x14ac:dyDescent="0.35">
      <c r="I557" s="32"/>
    </row>
    <row r="558" spans="9:9" ht="14.25" customHeight="1" x14ac:dyDescent="0.35">
      <c r="I558" s="32"/>
    </row>
    <row r="559" spans="9:9" ht="14.25" customHeight="1" x14ac:dyDescent="0.35">
      <c r="I559" s="32"/>
    </row>
    <row r="560" spans="9:9" ht="14.25" customHeight="1" x14ac:dyDescent="0.35">
      <c r="I560" s="32"/>
    </row>
    <row r="561" spans="9:9" ht="14.25" customHeight="1" x14ac:dyDescent="0.35">
      <c r="I561" s="32"/>
    </row>
    <row r="562" spans="9:9" ht="14.25" customHeight="1" x14ac:dyDescent="0.35">
      <c r="I562" s="32"/>
    </row>
    <row r="563" spans="9:9" ht="14.25" customHeight="1" x14ac:dyDescent="0.35">
      <c r="I563" s="32"/>
    </row>
    <row r="564" spans="9:9" ht="14.25" customHeight="1" x14ac:dyDescent="0.35">
      <c r="I564" s="32"/>
    </row>
    <row r="565" spans="9:9" ht="14.25" customHeight="1" x14ac:dyDescent="0.35">
      <c r="I565" s="32"/>
    </row>
    <row r="566" spans="9:9" ht="14.25" customHeight="1" x14ac:dyDescent="0.35">
      <c r="I566" s="32"/>
    </row>
    <row r="567" spans="9:9" ht="14.25" customHeight="1" x14ac:dyDescent="0.35">
      <c r="I567" s="32"/>
    </row>
    <row r="568" spans="9:9" ht="14.25" customHeight="1" x14ac:dyDescent="0.35">
      <c r="I568" s="32"/>
    </row>
    <row r="569" spans="9:9" ht="14.25" customHeight="1" x14ac:dyDescent="0.35">
      <c r="I569" s="32"/>
    </row>
    <row r="570" spans="9:9" ht="14.25" customHeight="1" x14ac:dyDescent="0.35">
      <c r="I570" s="32"/>
    </row>
    <row r="571" spans="9:9" ht="14.25" customHeight="1" x14ac:dyDescent="0.35">
      <c r="I571" s="32"/>
    </row>
    <row r="572" spans="9:9" ht="14.25" customHeight="1" x14ac:dyDescent="0.35">
      <c r="I572" s="32"/>
    </row>
    <row r="573" spans="9:9" ht="14.25" customHeight="1" x14ac:dyDescent="0.35">
      <c r="I573" s="32"/>
    </row>
    <row r="574" spans="9:9" ht="14.25" customHeight="1" x14ac:dyDescent="0.35">
      <c r="I574" s="32"/>
    </row>
    <row r="575" spans="9:9" ht="14.25" customHeight="1" x14ac:dyDescent="0.35">
      <c r="I575" s="32"/>
    </row>
    <row r="576" spans="9:9" ht="14.25" customHeight="1" x14ac:dyDescent="0.35">
      <c r="I576" s="32"/>
    </row>
    <row r="577" spans="9:9" ht="14.25" customHeight="1" x14ac:dyDescent="0.35">
      <c r="I577" s="32"/>
    </row>
    <row r="578" spans="9:9" ht="14.25" customHeight="1" x14ac:dyDescent="0.35">
      <c r="I578" s="32"/>
    </row>
    <row r="579" spans="9:9" ht="14.25" customHeight="1" x14ac:dyDescent="0.35">
      <c r="I579" s="32"/>
    </row>
    <row r="580" spans="9:9" ht="14.25" customHeight="1" x14ac:dyDescent="0.35">
      <c r="I580" s="32"/>
    </row>
    <row r="581" spans="9:9" ht="14.25" customHeight="1" x14ac:dyDescent="0.35">
      <c r="I581" s="32"/>
    </row>
    <row r="582" spans="9:9" ht="14.25" customHeight="1" x14ac:dyDescent="0.35">
      <c r="I582" s="32"/>
    </row>
    <row r="583" spans="9:9" ht="14.25" customHeight="1" x14ac:dyDescent="0.35">
      <c r="I583" s="32"/>
    </row>
    <row r="584" spans="9:9" ht="14.25" customHeight="1" x14ac:dyDescent="0.35">
      <c r="I584" s="32"/>
    </row>
    <row r="585" spans="9:9" ht="14.25" customHeight="1" x14ac:dyDescent="0.35">
      <c r="I585" s="32"/>
    </row>
    <row r="586" spans="9:9" ht="14.25" customHeight="1" x14ac:dyDescent="0.35">
      <c r="I586" s="32"/>
    </row>
    <row r="587" spans="9:9" ht="14.25" customHeight="1" x14ac:dyDescent="0.35">
      <c r="I587" s="32"/>
    </row>
    <row r="588" spans="9:9" ht="14.25" customHeight="1" x14ac:dyDescent="0.35">
      <c r="I588" s="32"/>
    </row>
    <row r="589" spans="9:9" ht="14.25" customHeight="1" x14ac:dyDescent="0.35">
      <c r="I589" s="32"/>
    </row>
    <row r="590" spans="9:9" ht="14.25" customHeight="1" x14ac:dyDescent="0.35">
      <c r="I590" s="32"/>
    </row>
    <row r="591" spans="9:9" ht="14.25" customHeight="1" x14ac:dyDescent="0.35">
      <c r="I591" s="32"/>
    </row>
    <row r="592" spans="9:9" ht="14.25" customHeight="1" x14ac:dyDescent="0.35">
      <c r="I592" s="32"/>
    </row>
    <row r="593" spans="9:9" ht="14.25" customHeight="1" x14ac:dyDescent="0.35">
      <c r="I593" s="32"/>
    </row>
    <row r="594" spans="9:9" ht="14.25" customHeight="1" x14ac:dyDescent="0.35">
      <c r="I594" s="32"/>
    </row>
    <row r="595" spans="9:9" ht="14.25" customHeight="1" x14ac:dyDescent="0.35">
      <c r="I595" s="32"/>
    </row>
    <row r="596" spans="9:9" ht="14.25" customHeight="1" x14ac:dyDescent="0.35">
      <c r="I596" s="32"/>
    </row>
    <row r="597" spans="9:9" ht="14.25" customHeight="1" x14ac:dyDescent="0.35">
      <c r="I597" s="32"/>
    </row>
    <row r="598" spans="9:9" ht="14.25" customHeight="1" x14ac:dyDescent="0.35">
      <c r="I598" s="32"/>
    </row>
    <row r="599" spans="9:9" ht="14.25" customHeight="1" x14ac:dyDescent="0.35">
      <c r="I599" s="32"/>
    </row>
    <row r="600" spans="9:9" ht="14.25" customHeight="1" x14ac:dyDescent="0.35">
      <c r="I600" s="32"/>
    </row>
    <row r="601" spans="9:9" ht="14.25" customHeight="1" x14ac:dyDescent="0.35">
      <c r="I601" s="32"/>
    </row>
    <row r="602" spans="9:9" ht="14.25" customHeight="1" x14ac:dyDescent="0.35">
      <c r="I602" s="32"/>
    </row>
    <row r="603" spans="9:9" ht="14.25" customHeight="1" x14ac:dyDescent="0.35">
      <c r="I603" s="32"/>
    </row>
    <row r="604" spans="9:9" ht="14.25" customHeight="1" x14ac:dyDescent="0.35">
      <c r="I604" s="32"/>
    </row>
    <row r="605" spans="9:9" ht="14.25" customHeight="1" x14ac:dyDescent="0.35">
      <c r="I605" s="32"/>
    </row>
    <row r="606" spans="9:9" ht="14.25" customHeight="1" x14ac:dyDescent="0.35">
      <c r="I606" s="32"/>
    </row>
    <row r="607" spans="9:9" ht="14.25" customHeight="1" x14ac:dyDescent="0.35">
      <c r="I607" s="32"/>
    </row>
    <row r="608" spans="9:9" ht="14.25" customHeight="1" x14ac:dyDescent="0.35">
      <c r="I608" s="32"/>
    </row>
    <row r="609" spans="9:9" ht="14.25" customHeight="1" x14ac:dyDescent="0.35">
      <c r="I609" s="32"/>
    </row>
    <row r="610" spans="9:9" ht="14.25" customHeight="1" x14ac:dyDescent="0.35">
      <c r="I610" s="32"/>
    </row>
    <row r="611" spans="9:9" ht="14.25" customHeight="1" x14ac:dyDescent="0.35">
      <c r="I611" s="32"/>
    </row>
    <row r="612" spans="9:9" ht="14.25" customHeight="1" x14ac:dyDescent="0.35">
      <c r="I612" s="32"/>
    </row>
    <row r="613" spans="9:9" ht="14.25" customHeight="1" x14ac:dyDescent="0.35">
      <c r="I613" s="32"/>
    </row>
    <row r="614" spans="9:9" ht="14.25" customHeight="1" x14ac:dyDescent="0.35">
      <c r="I614" s="32"/>
    </row>
    <row r="615" spans="9:9" ht="14.25" customHeight="1" x14ac:dyDescent="0.35">
      <c r="I615" s="32"/>
    </row>
    <row r="616" spans="9:9" ht="14.25" customHeight="1" x14ac:dyDescent="0.35">
      <c r="I616" s="32"/>
    </row>
    <row r="617" spans="9:9" ht="14.25" customHeight="1" x14ac:dyDescent="0.35">
      <c r="I617" s="32"/>
    </row>
    <row r="618" spans="9:9" ht="14.25" customHeight="1" x14ac:dyDescent="0.35">
      <c r="I618" s="32"/>
    </row>
    <row r="619" spans="9:9" ht="14.25" customHeight="1" x14ac:dyDescent="0.35">
      <c r="I619" s="32"/>
    </row>
    <row r="620" spans="9:9" ht="14.25" customHeight="1" x14ac:dyDescent="0.35">
      <c r="I620" s="32"/>
    </row>
    <row r="621" spans="9:9" ht="14.25" customHeight="1" x14ac:dyDescent="0.35">
      <c r="I621" s="32"/>
    </row>
    <row r="622" spans="9:9" ht="14.25" customHeight="1" x14ac:dyDescent="0.35">
      <c r="I622" s="32"/>
    </row>
    <row r="623" spans="9:9" ht="14.25" customHeight="1" x14ac:dyDescent="0.35">
      <c r="I623" s="32"/>
    </row>
    <row r="624" spans="9:9" ht="14.25" customHeight="1" x14ac:dyDescent="0.35">
      <c r="I624" s="32"/>
    </row>
    <row r="625" spans="9:9" ht="14.25" customHeight="1" x14ac:dyDescent="0.35">
      <c r="I625" s="32"/>
    </row>
    <row r="626" spans="9:9" ht="14.25" customHeight="1" x14ac:dyDescent="0.35">
      <c r="I626" s="32"/>
    </row>
    <row r="627" spans="9:9" ht="14.25" customHeight="1" x14ac:dyDescent="0.35">
      <c r="I627" s="32"/>
    </row>
    <row r="628" spans="9:9" ht="14.25" customHeight="1" x14ac:dyDescent="0.35">
      <c r="I628" s="32"/>
    </row>
    <row r="629" spans="9:9" ht="14.25" customHeight="1" x14ac:dyDescent="0.35">
      <c r="I629" s="32"/>
    </row>
    <row r="630" spans="9:9" ht="14.25" customHeight="1" x14ac:dyDescent="0.35">
      <c r="I630" s="32"/>
    </row>
    <row r="631" spans="9:9" ht="14.25" customHeight="1" x14ac:dyDescent="0.35">
      <c r="I631" s="32"/>
    </row>
    <row r="632" spans="9:9" ht="14.25" customHeight="1" x14ac:dyDescent="0.35">
      <c r="I632" s="32"/>
    </row>
    <row r="633" spans="9:9" ht="14.25" customHeight="1" x14ac:dyDescent="0.35">
      <c r="I633" s="32"/>
    </row>
    <row r="634" spans="9:9" ht="14.25" customHeight="1" x14ac:dyDescent="0.35">
      <c r="I634" s="32"/>
    </row>
    <row r="635" spans="9:9" ht="14.25" customHeight="1" x14ac:dyDescent="0.35">
      <c r="I635" s="32"/>
    </row>
    <row r="636" spans="9:9" ht="14.25" customHeight="1" x14ac:dyDescent="0.35">
      <c r="I636" s="32"/>
    </row>
    <row r="637" spans="9:9" ht="14.25" customHeight="1" x14ac:dyDescent="0.35">
      <c r="I637" s="32"/>
    </row>
    <row r="638" spans="9:9" ht="14.25" customHeight="1" x14ac:dyDescent="0.35">
      <c r="I638" s="32"/>
    </row>
    <row r="639" spans="9:9" ht="14.25" customHeight="1" x14ac:dyDescent="0.35">
      <c r="I639" s="32"/>
    </row>
    <row r="640" spans="9:9" ht="14.25" customHeight="1" x14ac:dyDescent="0.35">
      <c r="I640" s="32"/>
    </row>
    <row r="641" spans="9:9" ht="14.25" customHeight="1" x14ac:dyDescent="0.35">
      <c r="I641" s="32"/>
    </row>
    <row r="642" spans="9:9" ht="14.25" customHeight="1" x14ac:dyDescent="0.35">
      <c r="I642" s="32"/>
    </row>
    <row r="643" spans="9:9" ht="14.25" customHeight="1" x14ac:dyDescent="0.35">
      <c r="I643" s="32"/>
    </row>
    <row r="644" spans="9:9" ht="14.25" customHeight="1" x14ac:dyDescent="0.35">
      <c r="I644" s="32"/>
    </row>
    <row r="645" spans="9:9" ht="14.25" customHeight="1" x14ac:dyDescent="0.35">
      <c r="I645" s="32"/>
    </row>
    <row r="646" spans="9:9" ht="14.25" customHeight="1" x14ac:dyDescent="0.35">
      <c r="I646" s="32"/>
    </row>
    <row r="647" spans="9:9" ht="14.25" customHeight="1" x14ac:dyDescent="0.35">
      <c r="I647" s="32"/>
    </row>
    <row r="648" spans="9:9" ht="14.25" customHeight="1" x14ac:dyDescent="0.35">
      <c r="I648" s="32"/>
    </row>
    <row r="649" spans="9:9" ht="14.25" customHeight="1" x14ac:dyDescent="0.35">
      <c r="I649" s="32"/>
    </row>
    <row r="650" spans="9:9" ht="14.25" customHeight="1" x14ac:dyDescent="0.35">
      <c r="I650" s="32"/>
    </row>
    <row r="651" spans="9:9" ht="14.25" customHeight="1" x14ac:dyDescent="0.35">
      <c r="I651" s="32"/>
    </row>
    <row r="652" spans="9:9" ht="14.25" customHeight="1" x14ac:dyDescent="0.35">
      <c r="I652" s="32"/>
    </row>
    <row r="653" spans="9:9" ht="14.25" customHeight="1" x14ac:dyDescent="0.35">
      <c r="I653" s="32"/>
    </row>
    <row r="654" spans="9:9" ht="14.25" customHeight="1" x14ac:dyDescent="0.35">
      <c r="I654" s="32"/>
    </row>
    <row r="655" spans="9:9" ht="14.25" customHeight="1" x14ac:dyDescent="0.35">
      <c r="I655" s="32"/>
    </row>
    <row r="656" spans="9:9" ht="14.25" customHeight="1" x14ac:dyDescent="0.35">
      <c r="I656" s="32"/>
    </row>
    <row r="657" spans="9:9" ht="14.25" customHeight="1" x14ac:dyDescent="0.35">
      <c r="I657" s="32"/>
    </row>
    <row r="658" spans="9:9" ht="14.25" customHeight="1" x14ac:dyDescent="0.35">
      <c r="I658" s="32"/>
    </row>
    <row r="659" spans="9:9" ht="14.25" customHeight="1" x14ac:dyDescent="0.35">
      <c r="I659" s="32"/>
    </row>
    <row r="660" spans="9:9" ht="14.25" customHeight="1" x14ac:dyDescent="0.35">
      <c r="I660" s="32"/>
    </row>
    <row r="661" spans="9:9" ht="14.25" customHeight="1" x14ac:dyDescent="0.35">
      <c r="I661" s="32"/>
    </row>
    <row r="662" spans="9:9" ht="14.25" customHeight="1" x14ac:dyDescent="0.35">
      <c r="I662" s="32"/>
    </row>
    <row r="663" spans="9:9" ht="14.25" customHeight="1" x14ac:dyDescent="0.35">
      <c r="I663" s="32"/>
    </row>
    <row r="664" spans="9:9" ht="14.25" customHeight="1" x14ac:dyDescent="0.35">
      <c r="I664" s="32"/>
    </row>
    <row r="665" spans="9:9" ht="14.25" customHeight="1" x14ac:dyDescent="0.35">
      <c r="I665" s="32"/>
    </row>
    <row r="666" spans="9:9" ht="14.25" customHeight="1" x14ac:dyDescent="0.35">
      <c r="I666" s="32"/>
    </row>
    <row r="667" spans="9:9" ht="14.25" customHeight="1" x14ac:dyDescent="0.35">
      <c r="I667" s="32"/>
    </row>
    <row r="668" spans="9:9" ht="14.25" customHeight="1" x14ac:dyDescent="0.35">
      <c r="I668" s="32"/>
    </row>
    <row r="669" spans="9:9" ht="14.25" customHeight="1" x14ac:dyDescent="0.35">
      <c r="I669" s="32"/>
    </row>
    <row r="670" spans="9:9" ht="14.25" customHeight="1" x14ac:dyDescent="0.35">
      <c r="I670" s="32"/>
    </row>
    <row r="671" spans="9:9" ht="14.25" customHeight="1" x14ac:dyDescent="0.35">
      <c r="I671" s="32"/>
    </row>
    <row r="672" spans="9:9" ht="14.25" customHeight="1" x14ac:dyDescent="0.35">
      <c r="I672" s="32"/>
    </row>
    <row r="673" spans="9:9" ht="14.25" customHeight="1" x14ac:dyDescent="0.35">
      <c r="I673" s="32"/>
    </row>
    <row r="674" spans="9:9" ht="14.25" customHeight="1" x14ac:dyDescent="0.35">
      <c r="I674" s="32"/>
    </row>
    <row r="675" spans="9:9" ht="14.25" customHeight="1" x14ac:dyDescent="0.35">
      <c r="I675" s="32"/>
    </row>
    <row r="676" spans="9:9" ht="14.25" customHeight="1" x14ac:dyDescent="0.35">
      <c r="I676" s="32"/>
    </row>
    <row r="677" spans="9:9" ht="14.25" customHeight="1" x14ac:dyDescent="0.35">
      <c r="I677" s="32"/>
    </row>
    <row r="678" spans="9:9" ht="14.25" customHeight="1" x14ac:dyDescent="0.35">
      <c r="I678" s="32"/>
    </row>
    <row r="679" spans="9:9" ht="14.25" customHeight="1" x14ac:dyDescent="0.35">
      <c r="I679" s="32"/>
    </row>
    <row r="680" spans="9:9" ht="14.25" customHeight="1" x14ac:dyDescent="0.35">
      <c r="I680" s="32"/>
    </row>
    <row r="681" spans="9:9" ht="14.25" customHeight="1" x14ac:dyDescent="0.35">
      <c r="I681" s="32"/>
    </row>
    <row r="682" spans="9:9" ht="14.25" customHeight="1" x14ac:dyDescent="0.35">
      <c r="I682" s="32"/>
    </row>
    <row r="683" spans="9:9" ht="14.25" customHeight="1" x14ac:dyDescent="0.35">
      <c r="I683" s="32"/>
    </row>
    <row r="684" spans="9:9" ht="14.25" customHeight="1" x14ac:dyDescent="0.35">
      <c r="I684" s="32"/>
    </row>
    <row r="685" spans="9:9" ht="14.25" customHeight="1" x14ac:dyDescent="0.35">
      <c r="I685" s="32"/>
    </row>
    <row r="686" spans="9:9" ht="14.25" customHeight="1" x14ac:dyDescent="0.35">
      <c r="I686" s="32"/>
    </row>
    <row r="687" spans="9:9" ht="14.25" customHeight="1" x14ac:dyDescent="0.35">
      <c r="I687" s="32"/>
    </row>
    <row r="688" spans="9:9" ht="14.25" customHeight="1" x14ac:dyDescent="0.35">
      <c r="I688" s="32"/>
    </row>
    <row r="689" spans="9:9" ht="14.25" customHeight="1" x14ac:dyDescent="0.35">
      <c r="I689" s="32"/>
    </row>
    <row r="690" spans="9:9" ht="14.25" customHeight="1" x14ac:dyDescent="0.35">
      <c r="I690" s="32"/>
    </row>
    <row r="691" spans="9:9" ht="14.25" customHeight="1" x14ac:dyDescent="0.35">
      <c r="I691" s="32"/>
    </row>
    <row r="692" spans="9:9" ht="14.25" customHeight="1" x14ac:dyDescent="0.35">
      <c r="I692" s="32"/>
    </row>
    <row r="693" spans="9:9" ht="14.25" customHeight="1" x14ac:dyDescent="0.35">
      <c r="I693" s="32"/>
    </row>
    <row r="694" spans="9:9" ht="14.25" customHeight="1" x14ac:dyDescent="0.35">
      <c r="I694" s="32"/>
    </row>
    <row r="695" spans="9:9" ht="14.25" customHeight="1" x14ac:dyDescent="0.35">
      <c r="I695" s="32"/>
    </row>
    <row r="696" spans="9:9" ht="14.25" customHeight="1" x14ac:dyDescent="0.35">
      <c r="I696" s="32"/>
    </row>
    <row r="697" spans="9:9" ht="14.25" customHeight="1" x14ac:dyDescent="0.35">
      <c r="I697" s="32"/>
    </row>
    <row r="698" spans="9:9" ht="14.25" customHeight="1" x14ac:dyDescent="0.35">
      <c r="I698" s="32"/>
    </row>
    <row r="699" spans="9:9" ht="14.25" customHeight="1" x14ac:dyDescent="0.35">
      <c r="I699" s="32"/>
    </row>
    <row r="700" spans="9:9" ht="14.25" customHeight="1" x14ac:dyDescent="0.35">
      <c r="I700" s="32"/>
    </row>
    <row r="701" spans="9:9" ht="14.25" customHeight="1" x14ac:dyDescent="0.35">
      <c r="I701" s="32"/>
    </row>
    <row r="702" spans="9:9" ht="14.25" customHeight="1" x14ac:dyDescent="0.35">
      <c r="I702" s="32"/>
    </row>
    <row r="703" spans="9:9" ht="14.25" customHeight="1" x14ac:dyDescent="0.35">
      <c r="I703" s="32"/>
    </row>
    <row r="704" spans="9:9" ht="14.25" customHeight="1" x14ac:dyDescent="0.35">
      <c r="I704" s="32"/>
    </row>
    <row r="705" spans="9:9" ht="14.25" customHeight="1" x14ac:dyDescent="0.35">
      <c r="I705" s="32"/>
    </row>
    <row r="706" spans="9:9" ht="14.25" customHeight="1" x14ac:dyDescent="0.35">
      <c r="I706" s="32"/>
    </row>
    <row r="707" spans="9:9" ht="14.25" customHeight="1" x14ac:dyDescent="0.35">
      <c r="I707" s="32"/>
    </row>
    <row r="708" spans="9:9" ht="14.25" customHeight="1" x14ac:dyDescent="0.35">
      <c r="I708" s="32"/>
    </row>
    <row r="709" spans="9:9" ht="14.25" customHeight="1" x14ac:dyDescent="0.35">
      <c r="I709" s="32"/>
    </row>
    <row r="710" spans="9:9" ht="14.25" customHeight="1" x14ac:dyDescent="0.35">
      <c r="I710" s="32"/>
    </row>
    <row r="711" spans="9:9" ht="14.25" customHeight="1" x14ac:dyDescent="0.35">
      <c r="I711" s="32"/>
    </row>
    <row r="712" spans="9:9" ht="14.25" customHeight="1" x14ac:dyDescent="0.35">
      <c r="I712" s="32"/>
    </row>
    <row r="713" spans="9:9" ht="14.25" customHeight="1" x14ac:dyDescent="0.35">
      <c r="I713" s="32"/>
    </row>
    <row r="714" spans="9:9" ht="14.25" customHeight="1" x14ac:dyDescent="0.35">
      <c r="I714" s="32"/>
    </row>
    <row r="715" spans="9:9" ht="14.25" customHeight="1" x14ac:dyDescent="0.35">
      <c r="I715" s="32"/>
    </row>
    <row r="716" spans="9:9" ht="14.25" customHeight="1" x14ac:dyDescent="0.35">
      <c r="I716" s="32"/>
    </row>
    <row r="717" spans="9:9" ht="14.25" customHeight="1" x14ac:dyDescent="0.35">
      <c r="I717" s="32"/>
    </row>
    <row r="718" spans="9:9" ht="14.25" customHeight="1" x14ac:dyDescent="0.35">
      <c r="I718" s="32"/>
    </row>
    <row r="719" spans="9:9" ht="14.25" customHeight="1" x14ac:dyDescent="0.35">
      <c r="I719" s="32"/>
    </row>
    <row r="720" spans="9:9" ht="14.25" customHeight="1" x14ac:dyDescent="0.35">
      <c r="I720" s="32"/>
    </row>
    <row r="721" spans="9:9" ht="14.25" customHeight="1" x14ac:dyDescent="0.35">
      <c r="I721" s="32"/>
    </row>
    <row r="722" spans="9:9" ht="14.25" customHeight="1" x14ac:dyDescent="0.35">
      <c r="I722" s="32"/>
    </row>
    <row r="723" spans="9:9" ht="14.25" customHeight="1" x14ac:dyDescent="0.35">
      <c r="I723" s="32"/>
    </row>
    <row r="724" spans="9:9" ht="14.25" customHeight="1" x14ac:dyDescent="0.35">
      <c r="I724" s="32"/>
    </row>
    <row r="725" spans="9:9" ht="14.25" customHeight="1" x14ac:dyDescent="0.35">
      <c r="I725" s="32"/>
    </row>
    <row r="726" spans="9:9" ht="14.25" customHeight="1" x14ac:dyDescent="0.35">
      <c r="I726" s="32"/>
    </row>
    <row r="727" spans="9:9" ht="14.25" customHeight="1" x14ac:dyDescent="0.35">
      <c r="I727" s="32"/>
    </row>
    <row r="728" spans="9:9" ht="14.25" customHeight="1" x14ac:dyDescent="0.35">
      <c r="I728" s="32"/>
    </row>
    <row r="729" spans="9:9" ht="14.25" customHeight="1" x14ac:dyDescent="0.35">
      <c r="I729" s="32"/>
    </row>
    <row r="730" spans="9:9" ht="14.25" customHeight="1" x14ac:dyDescent="0.35">
      <c r="I730" s="32"/>
    </row>
    <row r="731" spans="9:9" ht="14.25" customHeight="1" x14ac:dyDescent="0.35">
      <c r="I731" s="32"/>
    </row>
    <row r="732" spans="9:9" ht="14.25" customHeight="1" x14ac:dyDescent="0.35">
      <c r="I732" s="32"/>
    </row>
    <row r="733" spans="9:9" ht="14.25" customHeight="1" x14ac:dyDescent="0.35">
      <c r="I733" s="32"/>
    </row>
    <row r="734" spans="9:9" ht="14.25" customHeight="1" x14ac:dyDescent="0.35">
      <c r="I734" s="32"/>
    </row>
    <row r="735" spans="9:9" ht="14.25" customHeight="1" x14ac:dyDescent="0.35">
      <c r="I735" s="32"/>
    </row>
    <row r="736" spans="9:9" ht="14.25" customHeight="1" x14ac:dyDescent="0.35">
      <c r="I736" s="32"/>
    </row>
    <row r="737" spans="9:9" ht="14.25" customHeight="1" x14ac:dyDescent="0.35">
      <c r="I737" s="32"/>
    </row>
    <row r="738" spans="9:9" ht="14.25" customHeight="1" x14ac:dyDescent="0.35">
      <c r="I738" s="32"/>
    </row>
    <row r="739" spans="9:9" ht="14.25" customHeight="1" x14ac:dyDescent="0.35">
      <c r="I739" s="32"/>
    </row>
    <row r="740" spans="9:9" ht="14.25" customHeight="1" x14ac:dyDescent="0.35">
      <c r="I740" s="32"/>
    </row>
    <row r="741" spans="9:9" ht="14.25" customHeight="1" x14ac:dyDescent="0.35">
      <c r="I741" s="32"/>
    </row>
    <row r="742" spans="9:9" ht="14.25" customHeight="1" x14ac:dyDescent="0.35">
      <c r="I742" s="32"/>
    </row>
    <row r="743" spans="9:9" ht="14.25" customHeight="1" x14ac:dyDescent="0.35">
      <c r="I743" s="32"/>
    </row>
    <row r="744" spans="9:9" ht="14.25" customHeight="1" x14ac:dyDescent="0.35">
      <c r="I744" s="32"/>
    </row>
    <row r="745" spans="9:9" ht="14.25" customHeight="1" x14ac:dyDescent="0.35">
      <c r="I745" s="32"/>
    </row>
    <row r="746" spans="9:9" ht="14.25" customHeight="1" x14ac:dyDescent="0.35">
      <c r="I746" s="32"/>
    </row>
    <row r="747" spans="9:9" ht="14.25" customHeight="1" x14ac:dyDescent="0.35">
      <c r="I747" s="32"/>
    </row>
    <row r="748" spans="9:9" ht="14.25" customHeight="1" x14ac:dyDescent="0.35">
      <c r="I748" s="32"/>
    </row>
    <row r="749" spans="9:9" ht="14.25" customHeight="1" x14ac:dyDescent="0.35">
      <c r="I749" s="32"/>
    </row>
    <row r="750" spans="9:9" ht="14.25" customHeight="1" x14ac:dyDescent="0.35">
      <c r="I750" s="32"/>
    </row>
    <row r="751" spans="9:9" ht="14.25" customHeight="1" x14ac:dyDescent="0.35">
      <c r="I751" s="32"/>
    </row>
    <row r="752" spans="9:9" ht="14.25" customHeight="1" x14ac:dyDescent="0.35">
      <c r="I752" s="32"/>
    </row>
    <row r="753" spans="9:9" ht="14.25" customHeight="1" x14ac:dyDescent="0.35">
      <c r="I753" s="32"/>
    </row>
    <row r="754" spans="9:9" ht="14.25" customHeight="1" x14ac:dyDescent="0.35">
      <c r="I754" s="32"/>
    </row>
    <row r="755" spans="9:9" ht="14.25" customHeight="1" x14ac:dyDescent="0.35">
      <c r="I755" s="32"/>
    </row>
    <row r="756" spans="9:9" ht="14.25" customHeight="1" x14ac:dyDescent="0.35">
      <c r="I756" s="32"/>
    </row>
    <row r="757" spans="9:9" ht="14.25" customHeight="1" x14ac:dyDescent="0.35">
      <c r="I757" s="32"/>
    </row>
    <row r="758" spans="9:9" ht="14.25" customHeight="1" x14ac:dyDescent="0.35">
      <c r="I758" s="32"/>
    </row>
    <row r="759" spans="9:9" ht="14.25" customHeight="1" x14ac:dyDescent="0.35">
      <c r="I759" s="32"/>
    </row>
    <row r="760" spans="9:9" ht="14.25" customHeight="1" x14ac:dyDescent="0.35">
      <c r="I760" s="32"/>
    </row>
    <row r="761" spans="9:9" ht="14.25" customHeight="1" x14ac:dyDescent="0.35">
      <c r="I761" s="32"/>
    </row>
    <row r="762" spans="9:9" ht="14.25" customHeight="1" x14ac:dyDescent="0.35">
      <c r="I762" s="32"/>
    </row>
    <row r="763" spans="9:9" ht="14.25" customHeight="1" x14ac:dyDescent="0.35">
      <c r="I763" s="32"/>
    </row>
    <row r="764" spans="9:9" ht="14.25" customHeight="1" x14ac:dyDescent="0.35">
      <c r="I764" s="32"/>
    </row>
    <row r="765" spans="9:9" ht="14.25" customHeight="1" x14ac:dyDescent="0.35">
      <c r="I765" s="32"/>
    </row>
    <row r="766" spans="9:9" ht="14.25" customHeight="1" x14ac:dyDescent="0.35">
      <c r="I766" s="32"/>
    </row>
    <row r="767" spans="9:9" ht="14.25" customHeight="1" x14ac:dyDescent="0.35">
      <c r="I767" s="32"/>
    </row>
    <row r="768" spans="9:9" ht="14.25" customHeight="1" x14ac:dyDescent="0.35">
      <c r="I768" s="32"/>
    </row>
    <row r="769" spans="9:9" ht="14.25" customHeight="1" x14ac:dyDescent="0.35">
      <c r="I769" s="32"/>
    </row>
    <row r="770" spans="9:9" ht="14.25" customHeight="1" x14ac:dyDescent="0.35">
      <c r="I770" s="32"/>
    </row>
    <row r="771" spans="9:9" ht="14.25" customHeight="1" x14ac:dyDescent="0.35">
      <c r="I771" s="32"/>
    </row>
    <row r="772" spans="9:9" ht="14.25" customHeight="1" x14ac:dyDescent="0.35">
      <c r="I772" s="32"/>
    </row>
    <row r="773" spans="9:9" ht="14.25" customHeight="1" x14ac:dyDescent="0.35">
      <c r="I773" s="32"/>
    </row>
    <row r="774" spans="9:9" ht="14.25" customHeight="1" x14ac:dyDescent="0.35">
      <c r="I774" s="32"/>
    </row>
    <row r="775" spans="9:9" ht="14.25" customHeight="1" x14ac:dyDescent="0.35">
      <c r="I775" s="32"/>
    </row>
    <row r="776" spans="9:9" ht="14.25" customHeight="1" x14ac:dyDescent="0.35">
      <c r="I776" s="32"/>
    </row>
    <row r="777" spans="9:9" ht="14.25" customHeight="1" x14ac:dyDescent="0.35">
      <c r="I777" s="32"/>
    </row>
    <row r="778" spans="9:9" ht="14.25" customHeight="1" x14ac:dyDescent="0.35">
      <c r="I778" s="32"/>
    </row>
    <row r="779" spans="9:9" ht="14.25" customHeight="1" x14ac:dyDescent="0.35">
      <c r="I779" s="32"/>
    </row>
    <row r="780" spans="9:9" ht="14.25" customHeight="1" x14ac:dyDescent="0.35">
      <c r="I780" s="32"/>
    </row>
    <row r="781" spans="9:9" ht="14.25" customHeight="1" x14ac:dyDescent="0.35">
      <c r="I781" s="32"/>
    </row>
    <row r="782" spans="9:9" ht="14.25" customHeight="1" x14ac:dyDescent="0.35">
      <c r="I782" s="32"/>
    </row>
    <row r="783" spans="9:9" ht="14.25" customHeight="1" x14ac:dyDescent="0.35">
      <c r="I783" s="32"/>
    </row>
    <row r="784" spans="9:9" ht="14.25" customHeight="1" x14ac:dyDescent="0.35">
      <c r="I784" s="32"/>
    </row>
    <row r="785" spans="9:9" ht="14.25" customHeight="1" x14ac:dyDescent="0.35">
      <c r="I785" s="32"/>
    </row>
    <row r="786" spans="9:9" ht="14.25" customHeight="1" x14ac:dyDescent="0.35">
      <c r="I786" s="32"/>
    </row>
    <row r="787" spans="9:9" ht="14.25" customHeight="1" x14ac:dyDescent="0.35">
      <c r="I787" s="32"/>
    </row>
    <row r="788" spans="9:9" ht="14.25" customHeight="1" x14ac:dyDescent="0.35">
      <c r="I788" s="32"/>
    </row>
    <row r="789" spans="9:9" ht="14.25" customHeight="1" x14ac:dyDescent="0.35">
      <c r="I789" s="32"/>
    </row>
    <row r="790" spans="9:9" ht="14.25" customHeight="1" x14ac:dyDescent="0.35">
      <c r="I790" s="32"/>
    </row>
    <row r="791" spans="9:9" ht="14.25" customHeight="1" x14ac:dyDescent="0.35">
      <c r="I791" s="32"/>
    </row>
    <row r="792" spans="9:9" ht="14.25" customHeight="1" x14ac:dyDescent="0.35">
      <c r="I792" s="32"/>
    </row>
    <row r="793" spans="9:9" ht="14.25" customHeight="1" x14ac:dyDescent="0.35">
      <c r="I793" s="32"/>
    </row>
    <row r="794" spans="9:9" ht="14.25" customHeight="1" x14ac:dyDescent="0.35">
      <c r="I794" s="32"/>
    </row>
    <row r="795" spans="9:9" ht="14.25" customHeight="1" x14ac:dyDescent="0.35">
      <c r="I795" s="32"/>
    </row>
    <row r="796" spans="9:9" ht="14.25" customHeight="1" x14ac:dyDescent="0.35">
      <c r="I796" s="32"/>
    </row>
    <row r="797" spans="9:9" ht="14.25" customHeight="1" x14ac:dyDescent="0.35">
      <c r="I797" s="32"/>
    </row>
    <row r="798" spans="9:9" ht="14.25" customHeight="1" x14ac:dyDescent="0.35">
      <c r="I798" s="32"/>
    </row>
    <row r="799" spans="9:9" ht="14.25" customHeight="1" x14ac:dyDescent="0.35">
      <c r="I799" s="32"/>
    </row>
    <row r="800" spans="9:9" ht="14.25" customHeight="1" x14ac:dyDescent="0.35">
      <c r="I800" s="32"/>
    </row>
    <row r="801" spans="9:9" ht="14.25" customHeight="1" x14ac:dyDescent="0.35">
      <c r="I801" s="32"/>
    </row>
    <row r="802" spans="9:9" ht="14.25" customHeight="1" x14ac:dyDescent="0.35">
      <c r="I802" s="32"/>
    </row>
    <row r="803" spans="9:9" ht="14.25" customHeight="1" x14ac:dyDescent="0.35">
      <c r="I803" s="32"/>
    </row>
    <row r="804" spans="9:9" ht="14.25" customHeight="1" x14ac:dyDescent="0.35">
      <c r="I804" s="32"/>
    </row>
    <row r="805" spans="9:9" ht="14.25" customHeight="1" x14ac:dyDescent="0.35">
      <c r="I805" s="32"/>
    </row>
    <row r="806" spans="9:9" ht="14.25" customHeight="1" x14ac:dyDescent="0.35">
      <c r="I806" s="32"/>
    </row>
    <row r="807" spans="9:9" ht="14.25" customHeight="1" x14ac:dyDescent="0.35">
      <c r="I807" s="32"/>
    </row>
    <row r="808" spans="9:9" ht="14.25" customHeight="1" x14ac:dyDescent="0.35">
      <c r="I808" s="32"/>
    </row>
    <row r="809" spans="9:9" ht="14.25" customHeight="1" x14ac:dyDescent="0.35">
      <c r="I809" s="32"/>
    </row>
    <row r="810" spans="9:9" ht="14.25" customHeight="1" x14ac:dyDescent="0.35">
      <c r="I810" s="32"/>
    </row>
    <row r="811" spans="9:9" ht="14.25" customHeight="1" x14ac:dyDescent="0.35">
      <c r="I811" s="32"/>
    </row>
    <row r="812" spans="9:9" ht="14.25" customHeight="1" x14ac:dyDescent="0.35">
      <c r="I812" s="32"/>
    </row>
    <row r="813" spans="9:9" ht="14.25" customHeight="1" x14ac:dyDescent="0.35">
      <c r="I813" s="32"/>
    </row>
    <row r="814" spans="9:9" ht="14.25" customHeight="1" x14ac:dyDescent="0.35">
      <c r="I814" s="32"/>
    </row>
    <row r="815" spans="9:9" ht="14.25" customHeight="1" x14ac:dyDescent="0.35">
      <c r="I815" s="32"/>
    </row>
    <row r="816" spans="9:9" ht="14.25" customHeight="1" x14ac:dyDescent="0.35">
      <c r="I816" s="32"/>
    </row>
    <row r="817" spans="9:9" ht="14.25" customHeight="1" x14ac:dyDescent="0.35">
      <c r="I817" s="32"/>
    </row>
    <row r="818" spans="9:9" ht="14.25" customHeight="1" x14ac:dyDescent="0.35">
      <c r="I818" s="32"/>
    </row>
    <row r="819" spans="9:9" ht="14.25" customHeight="1" x14ac:dyDescent="0.35">
      <c r="I819" s="32"/>
    </row>
    <row r="820" spans="9:9" ht="14.25" customHeight="1" x14ac:dyDescent="0.35">
      <c r="I820" s="32"/>
    </row>
    <row r="821" spans="9:9" ht="14.25" customHeight="1" x14ac:dyDescent="0.35">
      <c r="I821" s="32"/>
    </row>
    <row r="822" spans="9:9" ht="14.25" customHeight="1" x14ac:dyDescent="0.35">
      <c r="I822" s="32"/>
    </row>
    <row r="823" spans="9:9" ht="14.25" customHeight="1" x14ac:dyDescent="0.35">
      <c r="I823" s="32"/>
    </row>
    <row r="824" spans="9:9" ht="14.25" customHeight="1" x14ac:dyDescent="0.35">
      <c r="I824" s="32"/>
    </row>
    <row r="825" spans="9:9" ht="14.25" customHeight="1" x14ac:dyDescent="0.35">
      <c r="I825" s="32"/>
    </row>
    <row r="826" spans="9:9" ht="14.25" customHeight="1" x14ac:dyDescent="0.35">
      <c r="I826" s="32"/>
    </row>
    <row r="827" spans="9:9" ht="14.25" customHeight="1" x14ac:dyDescent="0.35">
      <c r="I827" s="32"/>
    </row>
    <row r="828" spans="9:9" ht="14.25" customHeight="1" x14ac:dyDescent="0.35">
      <c r="I828" s="32"/>
    </row>
    <row r="829" spans="9:9" ht="14.25" customHeight="1" x14ac:dyDescent="0.35">
      <c r="I829" s="32"/>
    </row>
    <row r="830" spans="9:9" ht="14.25" customHeight="1" x14ac:dyDescent="0.35">
      <c r="I830" s="32"/>
    </row>
    <row r="831" spans="9:9" ht="14.25" customHeight="1" x14ac:dyDescent="0.35">
      <c r="I831" s="32"/>
    </row>
    <row r="832" spans="9:9" ht="14.25" customHeight="1" x14ac:dyDescent="0.35">
      <c r="I832" s="32"/>
    </row>
    <row r="833" spans="9:9" ht="14.25" customHeight="1" x14ac:dyDescent="0.35">
      <c r="I833" s="32"/>
    </row>
    <row r="834" spans="9:9" ht="14.25" customHeight="1" x14ac:dyDescent="0.35">
      <c r="I834" s="32"/>
    </row>
    <row r="835" spans="9:9" ht="14.25" customHeight="1" x14ac:dyDescent="0.35">
      <c r="I835" s="32"/>
    </row>
    <row r="836" spans="9:9" ht="14.25" customHeight="1" x14ac:dyDescent="0.35">
      <c r="I836" s="32"/>
    </row>
    <row r="837" spans="9:9" ht="14.25" customHeight="1" x14ac:dyDescent="0.35">
      <c r="I837" s="32"/>
    </row>
    <row r="838" spans="9:9" ht="14.25" customHeight="1" x14ac:dyDescent="0.35">
      <c r="I838" s="32"/>
    </row>
    <row r="839" spans="9:9" ht="14.25" customHeight="1" x14ac:dyDescent="0.35">
      <c r="I839" s="32"/>
    </row>
    <row r="840" spans="9:9" ht="14.25" customHeight="1" x14ac:dyDescent="0.35">
      <c r="I840" s="32"/>
    </row>
    <row r="841" spans="9:9" ht="14.25" customHeight="1" x14ac:dyDescent="0.35">
      <c r="I841" s="32"/>
    </row>
    <row r="842" spans="9:9" ht="14.25" customHeight="1" x14ac:dyDescent="0.35">
      <c r="I842" s="32"/>
    </row>
    <row r="843" spans="9:9" ht="14.25" customHeight="1" x14ac:dyDescent="0.35">
      <c r="I843" s="32"/>
    </row>
    <row r="844" spans="9:9" ht="14.25" customHeight="1" x14ac:dyDescent="0.35">
      <c r="I844" s="32"/>
    </row>
    <row r="845" spans="9:9" ht="14.25" customHeight="1" x14ac:dyDescent="0.35">
      <c r="I845" s="32"/>
    </row>
    <row r="846" spans="9:9" ht="14.25" customHeight="1" x14ac:dyDescent="0.35">
      <c r="I846" s="32"/>
    </row>
    <row r="847" spans="9:9" ht="14.25" customHeight="1" x14ac:dyDescent="0.35">
      <c r="I847" s="32"/>
    </row>
    <row r="848" spans="9:9" ht="14.25" customHeight="1" x14ac:dyDescent="0.35">
      <c r="I848" s="32"/>
    </row>
    <row r="849" spans="9:9" ht="14.25" customHeight="1" x14ac:dyDescent="0.35">
      <c r="I849" s="32"/>
    </row>
    <row r="850" spans="9:9" ht="14.25" customHeight="1" x14ac:dyDescent="0.35">
      <c r="I850" s="32"/>
    </row>
    <row r="851" spans="9:9" ht="14.25" customHeight="1" x14ac:dyDescent="0.35">
      <c r="I851" s="32"/>
    </row>
    <row r="852" spans="9:9" ht="14.25" customHeight="1" x14ac:dyDescent="0.35">
      <c r="I852" s="32"/>
    </row>
    <row r="853" spans="9:9" ht="14.25" customHeight="1" x14ac:dyDescent="0.35">
      <c r="I853" s="32"/>
    </row>
    <row r="854" spans="9:9" ht="14.25" customHeight="1" x14ac:dyDescent="0.35">
      <c r="I854" s="32"/>
    </row>
    <row r="855" spans="9:9" ht="14.25" customHeight="1" x14ac:dyDescent="0.35">
      <c r="I855" s="32"/>
    </row>
    <row r="856" spans="9:9" ht="14.25" customHeight="1" x14ac:dyDescent="0.35">
      <c r="I856" s="32"/>
    </row>
    <row r="857" spans="9:9" ht="14.25" customHeight="1" x14ac:dyDescent="0.35">
      <c r="I857" s="32"/>
    </row>
    <row r="858" spans="9:9" ht="14.25" customHeight="1" x14ac:dyDescent="0.35">
      <c r="I858" s="32"/>
    </row>
    <row r="859" spans="9:9" ht="14.25" customHeight="1" x14ac:dyDescent="0.35">
      <c r="I859" s="32"/>
    </row>
    <row r="860" spans="9:9" ht="14.25" customHeight="1" x14ac:dyDescent="0.35">
      <c r="I860" s="32"/>
    </row>
    <row r="861" spans="9:9" ht="14.25" customHeight="1" x14ac:dyDescent="0.35">
      <c r="I861" s="32"/>
    </row>
    <row r="862" spans="9:9" ht="14.25" customHeight="1" x14ac:dyDescent="0.35">
      <c r="I862" s="32"/>
    </row>
    <row r="863" spans="9:9" ht="14.25" customHeight="1" x14ac:dyDescent="0.35">
      <c r="I863" s="32"/>
    </row>
    <row r="864" spans="9:9" ht="14.25" customHeight="1" x14ac:dyDescent="0.35">
      <c r="I864" s="32"/>
    </row>
    <row r="865" spans="9:9" ht="14.25" customHeight="1" x14ac:dyDescent="0.35">
      <c r="I865" s="32"/>
    </row>
    <row r="866" spans="9:9" ht="14.25" customHeight="1" x14ac:dyDescent="0.35">
      <c r="I866" s="32"/>
    </row>
    <row r="867" spans="9:9" ht="14.25" customHeight="1" x14ac:dyDescent="0.35">
      <c r="I867" s="32"/>
    </row>
    <row r="868" spans="9:9" ht="14.25" customHeight="1" x14ac:dyDescent="0.35">
      <c r="I868" s="32"/>
    </row>
    <row r="869" spans="9:9" ht="14.25" customHeight="1" x14ac:dyDescent="0.35">
      <c r="I869" s="32"/>
    </row>
    <row r="870" spans="9:9" ht="14.25" customHeight="1" x14ac:dyDescent="0.35">
      <c r="I870" s="32"/>
    </row>
    <row r="871" spans="9:9" ht="14.25" customHeight="1" x14ac:dyDescent="0.35">
      <c r="I871" s="32"/>
    </row>
    <row r="872" spans="9:9" ht="14.25" customHeight="1" x14ac:dyDescent="0.35">
      <c r="I872" s="32"/>
    </row>
    <row r="873" spans="9:9" ht="14.25" customHeight="1" x14ac:dyDescent="0.35">
      <c r="I873" s="32"/>
    </row>
    <row r="874" spans="9:9" ht="14.25" customHeight="1" x14ac:dyDescent="0.35">
      <c r="I874" s="32"/>
    </row>
    <row r="875" spans="9:9" ht="14.25" customHeight="1" x14ac:dyDescent="0.35">
      <c r="I875" s="32"/>
    </row>
    <row r="876" spans="9:9" ht="14.25" customHeight="1" x14ac:dyDescent="0.35">
      <c r="I876" s="32"/>
    </row>
    <row r="877" spans="9:9" ht="14.25" customHeight="1" x14ac:dyDescent="0.35">
      <c r="I877" s="32"/>
    </row>
    <row r="878" spans="9:9" ht="14.25" customHeight="1" x14ac:dyDescent="0.35">
      <c r="I878" s="32"/>
    </row>
    <row r="879" spans="9:9" ht="14.25" customHeight="1" x14ac:dyDescent="0.35">
      <c r="I879" s="32"/>
    </row>
    <row r="880" spans="9:9" ht="14.25" customHeight="1" x14ac:dyDescent="0.35">
      <c r="I880" s="32"/>
    </row>
    <row r="881" spans="9:9" ht="14.25" customHeight="1" x14ac:dyDescent="0.35">
      <c r="I881" s="32"/>
    </row>
    <row r="882" spans="9:9" ht="14.25" customHeight="1" x14ac:dyDescent="0.35">
      <c r="I882" s="32"/>
    </row>
    <row r="883" spans="9:9" ht="14.25" customHeight="1" x14ac:dyDescent="0.35">
      <c r="I883" s="32"/>
    </row>
    <row r="884" spans="9:9" ht="14.25" customHeight="1" x14ac:dyDescent="0.35">
      <c r="I884" s="32"/>
    </row>
    <row r="885" spans="9:9" ht="14.25" customHeight="1" x14ac:dyDescent="0.35">
      <c r="I885" s="32"/>
    </row>
    <row r="886" spans="9:9" ht="14.25" customHeight="1" x14ac:dyDescent="0.35">
      <c r="I886" s="32"/>
    </row>
    <row r="887" spans="9:9" ht="14.25" customHeight="1" x14ac:dyDescent="0.35">
      <c r="I887" s="32"/>
    </row>
    <row r="888" spans="9:9" ht="14.25" customHeight="1" x14ac:dyDescent="0.35">
      <c r="I888" s="32"/>
    </row>
    <row r="889" spans="9:9" ht="14.25" customHeight="1" x14ac:dyDescent="0.35">
      <c r="I889" s="32"/>
    </row>
    <row r="890" spans="9:9" ht="14.25" customHeight="1" x14ac:dyDescent="0.35">
      <c r="I890" s="32"/>
    </row>
    <row r="891" spans="9:9" ht="14.25" customHeight="1" x14ac:dyDescent="0.35">
      <c r="I891" s="32"/>
    </row>
    <row r="892" spans="9:9" ht="14.25" customHeight="1" x14ac:dyDescent="0.35">
      <c r="I892" s="32"/>
    </row>
    <row r="893" spans="9:9" ht="14.25" customHeight="1" x14ac:dyDescent="0.35">
      <c r="I893" s="32"/>
    </row>
    <row r="894" spans="9:9" ht="14.25" customHeight="1" x14ac:dyDescent="0.35">
      <c r="I894" s="32"/>
    </row>
    <row r="895" spans="9:9" ht="14.25" customHeight="1" x14ac:dyDescent="0.35">
      <c r="I895" s="32"/>
    </row>
    <row r="896" spans="9:9" ht="14.25" customHeight="1" x14ac:dyDescent="0.35">
      <c r="I896" s="32"/>
    </row>
    <row r="897" spans="9:9" ht="14.25" customHeight="1" x14ac:dyDescent="0.35">
      <c r="I897" s="32"/>
    </row>
    <row r="898" spans="9:9" ht="14.25" customHeight="1" x14ac:dyDescent="0.35">
      <c r="I898" s="32"/>
    </row>
    <row r="899" spans="9:9" ht="14.25" customHeight="1" x14ac:dyDescent="0.35">
      <c r="I899" s="32"/>
    </row>
    <row r="900" spans="9:9" ht="14.25" customHeight="1" x14ac:dyDescent="0.35">
      <c r="I900" s="32"/>
    </row>
    <row r="901" spans="9:9" ht="14.25" customHeight="1" x14ac:dyDescent="0.35">
      <c r="I901" s="32"/>
    </row>
    <row r="902" spans="9:9" ht="14.25" customHeight="1" x14ac:dyDescent="0.35">
      <c r="I902" s="32"/>
    </row>
    <row r="903" spans="9:9" ht="14.25" customHeight="1" x14ac:dyDescent="0.35">
      <c r="I903" s="32"/>
    </row>
    <row r="904" spans="9:9" ht="14.25" customHeight="1" x14ac:dyDescent="0.35">
      <c r="I904" s="32"/>
    </row>
    <row r="905" spans="9:9" ht="14.25" customHeight="1" x14ac:dyDescent="0.35">
      <c r="I905" s="32"/>
    </row>
    <row r="906" spans="9:9" ht="14.25" customHeight="1" x14ac:dyDescent="0.35">
      <c r="I906" s="32"/>
    </row>
    <row r="907" spans="9:9" ht="14.25" customHeight="1" x14ac:dyDescent="0.35">
      <c r="I907" s="32"/>
    </row>
    <row r="908" spans="9:9" ht="14.25" customHeight="1" x14ac:dyDescent="0.35">
      <c r="I908" s="32"/>
    </row>
    <row r="909" spans="9:9" ht="14.25" customHeight="1" x14ac:dyDescent="0.35">
      <c r="I909" s="32"/>
    </row>
    <row r="910" spans="9:9" ht="14.25" customHeight="1" x14ac:dyDescent="0.35">
      <c r="I910" s="32"/>
    </row>
    <row r="911" spans="9:9" ht="14.25" customHeight="1" x14ac:dyDescent="0.35">
      <c r="I911" s="32"/>
    </row>
    <row r="912" spans="9:9" ht="14.25" customHeight="1" x14ac:dyDescent="0.35">
      <c r="I912" s="32"/>
    </row>
    <row r="913" spans="9:9" ht="14.25" customHeight="1" x14ac:dyDescent="0.35">
      <c r="I913" s="32"/>
    </row>
    <row r="914" spans="9:9" ht="14.25" customHeight="1" x14ac:dyDescent="0.35">
      <c r="I914" s="32"/>
    </row>
    <row r="915" spans="9:9" ht="14.25" customHeight="1" x14ac:dyDescent="0.35">
      <c r="I915" s="32"/>
    </row>
    <row r="916" spans="9:9" ht="14.25" customHeight="1" x14ac:dyDescent="0.35">
      <c r="I916" s="32"/>
    </row>
    <row r="917" spans="9:9" ht="14.25" customHeight="1" x14ac:dyDescent="0.35">
      <c r="I917" s="32"/>
    </row>
    <row r="918" spans="9:9" ht="14.25" customHeight="1" x14ac:dyDescent="0.35">
      <c r="I918" s="32"/>
    </row>
    <row r="919" spans="9:9" ht="14.25" customHeight="1" x14ac:dyDescent="0.35">
      <c r="I919" s="32"/>
    </row>
    <row r="920" spans="9:9" ht="14.25" customHeight="1" x14ac:dyDescent="0.35">
      <c r="I920" s="32"/>
    </row>
    <row r="921" spans="9:9" ht="14.25" customHeight="1" x14ac:dyDescent="0.35">
      <c r="I921" s="32"/>
    </row>
    <row r="922" spans="9:9" ht="14.25" customHeight="1" x14ac:dyDescent="0.35">
      <c r="I922" s="32"/>
    </row>
    <row r="923" spans="9:9" ht="14.25" customHeight="1" x14ac:dyDescent="0.35">
      <c r="I923" s="32"/>
    </row>
    <row r="924" spans="9:9" ht="14.25" customHeight="1" x14ac:dyDescent="0.35">
      <c r="I924" s="32"/>
    </row>
    <row r="925" spans="9:9" ht="14.25" customHeight="1" x14ac:dyDescent="0.35">
      <c r="I925" s="32"/>
    </row>
    <row r="926" spans="9:9" ht="14.25" customHeight="1" x14ac:dyDescent="0.35">
      <c r="I926" s="32"/>
    </row>
    <row r="927" spans="9:9" ht="14.25" customHeight="1" x14ac:dyDescent="0.35">
      <c r="I927" s="32"/>
    </row>
    <row r="928" spans="9:9" ht="14.25" customHeight="1" x14ac:dyDescent="0.35">
      <c r="I928" s="32"/>
    </row>
    <row r="929" spans="9:9" ht="14.25" customHeight="1" x14ac:dyDescent="0.35">
      <c r="I929" s="32"/>
    </row>
    <row r="930" spans="9:9" ht="14.25" customHeight="1" x14ac:dyDescent="0.35">
      <c r="I930" s="32"/>
    </row>
    <row r="931" spans="9:9" ht="14.25" customHeight="1" x14ac:dyDescent="0.35">
      <c r="I931" s="32"/>
    </row>
    <row r="932" spans="9:9" ht="14.25" customHeight="1" x14ac:dyDescent="0.35">
      <c r="I932" s="32"/>
    </row>
    <row r="933" spans="9:9" ht="14.25" customHeight="1" x14ac:dyDescent="0.35">
      <c r="I933" s="32"/>
    </row>
    <row r="934" spans="9:9" ht="14.25" customHeight="1" x14ac:dyDescent="0.35">
      <c r="I934" s="32"/>
    </row>
    <row r="935" spans="9:9" ht="14.25" customHeight="1" x14ac:dyDescent="0.35">
      <c r="I935" s="32"/>
    </row>
    <row r="936" spans="9:9" ht="14.25" customHeight="1" x14ac:dyDescent="0.35">
      <c r="I936" s="32"/>
    </row>
    <row r="937" spans="9:9" ht="14.25" customHeight="1" x14ac:dyDescent="0.35">
      <c r="I937" s="32"/>
    </row>
    <row r="938" spans="9:9" ht="14.25" customHeight="1" x14ac:dyDescent="0.35">
      <c r="I938" s="32"/>
    </row>
    <row r="939" spans="9:9" ht="14.25" customHeight="1" x14ac:dyDescent="0.35">
      <c r="I939" s="32"/>
    </row>
    <row r="940" spans="9:9" ht="14.25" customHeight="1" x14ac:dyDescent="0.35">
      <c r="I940" s="32"/>
    </row>
    <row r="941" spans="9:9" ht="14.25" customHeight="1" x14ac:dyDescent="0.35">
      <c r="I941" s="32"/>
    </row>
    <row r="942" spans="9:9" ht="14.25" customHeight="1" x14ac:dyDescent="0.35">
      <c r="I942" s="32"/>
    </row>
    <row r="943" spans="9:9" ht="14.25" customHeight="1" x14ac:dyDescent="0.35">
      <c r="I943" s="32"/>
    </row>
    <row r="944" spans="9:9" ht="14.25" customHeight="1" x14ac:dyDescent="0.35">
      <c r="I944" s="32"/>
    </row>
    <row r="945" spans="9:9" ht="14.25" customHeight="1" x14ac:dyDescent="0.35">
      <c r="I945" s="32"/>
    </row>
    <row r="946" spans="9:9" ht="14.25" customHeight="1" x14ac:dyDescent="0.35">
      <c r="I946" s="32"/>
    </row>
    <row r="947" spans="9:9" ht="14.25" customHeight="1" x14ac:dyDescent="0.35">
      <c r="I947" s="32"/>
    </row>
    <row r="948" spans="9:9" ht="14.25" customHeight="1" x14ac:dyDescent="0.35">
      <c r="I948" s="32"/>
    </row>
    <row r="949" spans="9:9" ht="14.25" customHeight="1" x14ac:dyDescent="0.35">
      <c r="I949" s="32"/>
    </row>
    <row r="950" spans="9:9" ht="14.25" customHeight="1" x14ac:dyDescent="0.35">
      <c r="I950" s="32"/>
    </row>
    <row r="951" spans="9:9" ht="14.25" customHeight="1" x14ac:dyDescent="0.35">
      <c r="I951" s="32"/>
    </row>
    <row r="952" spans="9:9" ht="14.25" customHeight="1" x14ac:dyDescent="0.35">
      <c r="I952" s="32"/>
    </row>
    <row r="953" spans="9:9" ht="14.25" customHeight="1" x14ac:dyDescent="0.35">
      <c r="I953" s="32"/>
    </row>
    <row r="954" spans="9:9" ht="14.25" customHeight="1" x14ac:dyDescent="0.35">
      <c r="I954" s="32"/>
    </row>
    <row r="955" spans="9:9" ht="14.25" customHeight="1" x14ac:dyDescent="0.35">
      <c r="I955" s="32"/>
    </row>
    <row r="956" spans="9:9" ht="14.25" customHeight="1" x14ac:dyDescent="0.35">
      <c r="I956" s="32"/>
    </row>
    <row r="957" spans="9:9" ht="14.25" customHeight="1" x14ac:dyDescent="0.35">
      <c r="I957" s="32"/>
    </row>
    <row r="958" spans="9:9" ht="14.25" customHeight="1" x14ac:dyDescent="0.35">
      <c r="I958" s="32"/>
    </row>
    <row r="959" spans="9:9" ht="14.25" customHeight="1" x14ac:dyDescent="0.35">
      <c r="I959" s="32"/>
    </row>
    <row r="960" spans="9:9" ht="14.25" customHeight="1" x14ac:dyDescent="0.35">
      <c r="I960" s="32"/>
    </row>
    <row r="961" spans="9:9" ht="14.25" customHeight="1" x14ac:dyDescent="0.35">
      <c r="I961" s="32"/>
    </row>
    <row r="962" spans="9:9" ht="14.25" customHeight="1" x14ac:dyDescent="0.35">
      <c r="I962" s="32"/>
    </row>
    <row r="963" spans="9:9" ht="14.25" customHeight="1" x14ac:dyDescent="0.35">
      <c r="I963" s="32"/>
    </row>
    <row r="964" spans="9:9" ht="14.25" customHeight="1" x14ac:dyDescent="0.35">
      <c r="I964" s="32"/>
    </row>
    <row r="965" spans="9:9" ht="14.25" customHeight="1" x14ac:dyDescent="0.35">
      <c r="I965" s="32"/>
    </row>
    <row r="966" spans="9:9" ht="14.25" customHeight="1" x14ac:dyDescent="0.35">
      <c r="I966" s="32"/>
    </row>
    <row r="967" spans="9:9" ht="14.25" customHeight="1" x14ac:dyDescent="0.35">
      <c r="I967" s="32"/>
    </row>
    <row r="968" spans="9:9" ht="14.25" customHeight="1" x14ac:dyDescent="0.35">
      <c r="I968" s="32"/>
    </row>
    <row r="969" spans="9:9" ht="14.25" customHeight="1" x14ac:dyDescent="0.35">
      <c r="I969" s="32"/>
    </row>
    <row r="970" spans="9:9" ht="14.25" customHeight="1" x14ac:dyDescent="0.35">
      <c r="I970" s="32"/>
    </row>
    <row r="971" spans="9:9" ht="14.25" customHeight="1" x14ac:dyDescent="0.35">
      <c r="I971" s="32"/>
    </row>
    <row r="972" spans="9:9" ht="14.25" customHeight="1" x14ac:dyDescent="0.35">
      <c r="I972" s="32"/>
    </row>
    <row r="973" spans="9:9" ht="14.25" customHeight="1" x14ac:dyDescent="0.35">
      <c r="I973" s="32"/>
    </row>
    <row r="974" spans="9:9" ht="14.25" customHeight="1" x14ac:dyDescent="0.35">
      <c r="I974" s="32"/>
    </row>
    <row r="975" spans="9:9" ht="14.25" customHeight="1" x14ac:dyDescent="0.35">
      <c r="I975" s="32"/>
    </row>
    <row r="976" spans="9:9" ht="14.25" customHeight="1" x14ac:dyDescent="0.35">
      <c r="I976" s="32"/>
    </row>
    <row r="977" spans="9:9" ht="14.25" customHeight="1" x14ac:dyDescent="0.35">
      <c r="I977" s="32"/>
    </row>
    <row r="978" spans="9:9" ht="14.25" customHeight="1" x14ac:dyDescent="0.35">
      <c r="I978" s="32"/>
    </row>
    <row r="979" spans="9:9" ht="14.25" customHeight="1" x14ac:dyDescent="0.35">
      <c r="I979" s="32"/>
    </row>
    <row r="980" spans="9:9" ht="14.25" customHeight="1" x14ac:dyDescent="0.35">
      <c r="I980" s="32"/>
    </row>
    <row r="981" spans="9:9" ht="14.25" customHeight="1" x14ac:dyDescent="0.35">
      <c r="I981" s="32"/>
    </row>
    <row r="982" spans="9:9" ht="14.25" customHeight="1" x14ac:dyDescent="0.35">
      <c r="I982" s="32"/>
    </row>
    <row r="983" spans="9:9" ht="14.25" customHeight="1" x14ac:dyDescent="0.35">
      <c r="I983" s="32"/>
    </row>
    <row r="984" spans="9:9" ht="14.25" customHeight="1" x14ac:dyDescent="0.35">
      <c r="I984" s="32"/>
    </row>
    <row r="985" spans="9:9" ht="14.25" customHeight="1" x14ac:dyDescent="0.35">
      <c r="I985" s="32"/>
    </row>
    <row r="986" spans="9:9" ht="14.25" customHeight="1" x14ac:dyDescent="0.35">
      <c r="I986" s="32"/>
    </row>
    <row r="987" spans="9:9" ht="14.25" customHeight="1" x14ac:dyDescent="0.35">
      <c r="I987" s="32"/>
    </row>
    <row r="988" spans="9:9" ht="14.25" customHeight="1" x14ac:dyDescent="0.35">
      <c r="I988" s="32"/>
    </row>
    <row r="989" spans="9:9" ht="14.25" customHeight="1" x14ac:dyDescent="0.35">
      <c r="I989" s="32"/>
    </row>
    <row r="990" spans="9:9" ht="14.25" customHeight="1" x14ac:dyDescent="0.35">
      <c r="I990" s="32"/>
    </row>
    <row r="991" spans="9:9" ht="14.25" customHeight="1" x14ac:dyDescent="0.35">
      <c r="I991" s="32"/>
    </row>
    <row r="992" spans="9:9" ht="14.25" customHeight="1" x14ac:dyDescent="0.35">
      <c r="I992" s="32"/>
    </row>
    <row r="993" spans="9:9" ht="14.25" customHeight="1" x14ac:dyDescent="0.35">
      <c r="I993" s="32"/>
    </row>
    <row r="994" spans="9:9" ht="14.25" customHeight="1" x14ac:dyDescent="0.35">
      <c r="I994" s="32"/>
    </row>
    <row r="995" spans="9:9" ht="14.25" customHeight="1" x14ac:dyDescent="0.35">
      <c r="I995" s="32"/>
    </row>
    <row r="996" spans="9:9" ht="14.25" customHeight="1" x14ac:dyDescent="0.35">
      <c r="I996" s="32"/>
    </row>
    <row r="997" spans="9:9" ht="14.25" customHeight="1" x14ac:dyDescent="0.35">
      <c r="I997" s="32"/>
    </row>
    <row r="998" spans="9:9" ht="14.25" customHeight="1" x14ac:dyDescent="0.35">
      <c r="I998" s="32"/>
    </row>
    <row r="999" spans="9:9" ht="14.25" customHeight="1" x14ac:dyDescent="0.35">
      <c r="I999" s="32"/>
    </row>
    <row r="1000" spans="9:9" ht="14.25" customHeight="1" x14ac:dyDescent="0.35">
      <c r="I1000" s="3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4FAA-BAFA-451C-9917-529ABAFCD04C}">
  <sheetPr>
    <tabColor theme="7" tint="0.39997558519241921"/>
  </sheetPr>
  <dimension ref="A1:D1000"/>
  <sheetViews>
    <sheetView workbookViewId="0">
      <selection activeCell="D18" sqref="D18"/>
    </sheetView>
  </sheetViews>
  <sheetFormatPr defaultColWidth="14.453125" defaultRowHeight="15" customHeight="1" x14ac:dyDescent="0.35"/>
  <cols>
    <col min="1" max="1" width="16" style="31" customWidth="1"/>
    <col min="2" max="2" width="17.08984375" style="31" customWidth="1"/>
    <col min="3" max="3" width="16.453125" style="31" customWidth="1"/>
    <col min="4" max="4" width="16.7265625" style="31" customWidth="1"/>
    <col min="5" max="26" width="8.7265625" style="31" customWidth="1"/>
    <col min="27" max="16384" width="14.453125" style="31"/>
  </cols>
  <sheetData>
    <row r="1" spans="1:4" ht="14.25" customHeight="1" x14ac:dyDescent="0.35">
      <c r="A1" s="34" t="s">
        <v>92</v>
      </c>
      <c r="B1" s="34" t="s">
        <v>100</v>
      </c>
      <c r="C1" s="34" t="s">
        <v>164</v>
      </c>
      <c r="D1" s="34" t="s">
        <v>101</v>
      </c>
    </row>
    <row r="2" spans="1:4" ht="14.25" customHeight="1" x14ac:dyDescent="0.35">
      <c r="A2" s="31" t="s">
        <v>141</v>
      </c>
      <c r="B2" s="31" t="s">
        <v>68</v>
      </c>
      <c r="C2" s="31">
        <v>8424</v>
      </c>
      <c r="D2" s="31">
        <v>5633</v>
      </c>
    </row>
    <row r="3" spans="1:4" ht="14.25" customHeight="1" x14ac:dyDescent="0.35">
      <c r="A3" s="31" t="s">
        <v>118</v>
      </c>
      <c r="B3" s="31" t="s">
        <v>69</v>
      </c>
      <c r="C3" s="31">
        <v>1970</v>
      </c>
      <c r="D3" s="31">
        <v>6776</v>
      </c>
    </row>
    <row r="4" spans="1:4" ht="14.25" customHeight="1" x14ac:dyDescent="0.35">
      <c r="A4" s="31" t="s">
        <v>151</v>
      </c>
      <c r="B4" s="31" t="s">
        <v>69</v>
      </c>
      <c r="C4" s="31">
        <v>1207</v>
      </c>
      <c r="D4" s="31">
        <v>18031</v>
      </c>
    </row>
    <row r="5" spans="1:4" ht="14.25" customHeight="1" x14ac:dyDescent="0.35">
      <c r="A5" s="31" t="s">
        <v>106</v>
      </c>
      <c r="B5" s="31" t="s">
        <v>67</v>
      </c>
      <c r="C5" s="31">
        <v>8803</v>
      </c>
      <c r="D5" s="31">
        <v>9033</v>
      </c>
    </row>
    <row r="6" spans="1:4" ht="14.25" customHeight="1" x14ac:dyDescent="0.35">
      <c r="A6" s="31" t="s">
        <v>124</v>
      </c>
      <c r="B6" s="31" t="s">
        <v>69</v>
      </c>
      <c r="C6" s="31">
        <v>9941</v>
      </c>
      <c r="D6" s="31">
        <v>17751</v>
      </c>
    </row>
    <row r="7" spans="1:4" ht="14.25" customHeight="1" x14ac:dyDescent="0.35">
      <c r="A7" s="31" t="s">
        <v>109</v>
      </c>
      <c r="B7" s="31" t="s">
        <v>68</v>
      </c>
      <c r="C7" s="31">
        <v>6053</v>
      </c>
      <c r="D7" s="31">
        <v>5914</v>
      </c>
    </row>
    <row r="8" spans="1:4" ht="14.25" customHeight="1" x14ac:dyDescent="0.35">
      <c r="A8" s="31" t="s">
        <v>116</v>
      </c>
      <c r="B8" s="31" t="s">
        <v>68</v>
      </c>
      <c r="C8" s="31">
        <v>2598</v>
      </c>
      <c r="D8" s="31">
        <v>12837</v>
      </c>
    </row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s="31" customFormat="1" ht="14.25" customHeight="1" x14ac:dyDescent="0.35"/>
    <row r="18" s="31" customFormat="1" ht="14.25" customHeight="1" x14ac:dyDescent="0.35"/>
    <row r="19" s="31" customFormat="1" ht="14.25" customHeight="1" x14ac:dyDescent="0.35"/>
    <row r="20" s="31" customFormat="1" ht="14.25" customHeight="1" x14ac:dyDescent="0.35"/>
    <row r="21" s="31" customFormat="1" ht="14.25" customHeight="1" x14ac:dyDescent="0.35"/>
    <row r="22" s="31" customFormat="1" ht="14.25" customHeight="1" x14ac:dyDescent="0.35"/>
    <row r="23" s="31" customFormat="1" ht="14.25" customHeight="1" x14ac:dyDescent="0.35"/>
    <row r="24" s="31" customFormat="1" ht="14.25" customHeight="1" x14ac:dyDescent="0.35"/>
    <row r="25" s="31" customFormat="1" ht="14.25" customHeight="1" x14ac:dyDescent="0.35"/>
    <row r="26" s="31" customFormat="1" ht="14.25" customHeight="1" x14ac:dyDescent="0.35"/>
    <row r="27" s="31" customFormat="1" ht="14.25" customHeight="1" x14ac:dyDescent="0.35"/>
    <row r="28" s="31" customFormat="1" ht="14.25" customHeight="1" x14ac:dyDescent="0.35"/>
    <row r="29" s="31" customFormat="1" ht="14.25" customHeight="1" x14ac:dyDescent="0.35"/>
    <row r="30" s="31" customFormat="1" ht="14.25" customHeight="1" x14ac:dyDescent="0.35"/>
    <row r="31" s="31" customFormat="1" ht="14.25" customHeight="1" x14ac:dyDescent="0.35"/>
    <row r="32" s="31" customFormat="1" ht="14.25" customHeight="1" x14ac:dyDescent="0.35"/>
    <row r="33" s="31" customFormat="1" ht="14.25" customHeight="1" x14ac:dyDescent="0.35"/>
    <row r="34" s="31" customFormat="1" ht="14.25" customHeight="1" x14ac:dyDescent="0.35"/>
    <row r="35" s="31" customFormat="1" ht="14.25" customHeight="1" x14ac:dyDescent="0.35"/>
    <row r="36" s="31" customFormat="1" ht="14.25" customHeight="1" x14ac:dyDescent="0.35"/>
    <row r="37" s="31" customFormat="1" ht="14.25" customHeight="1" x14ac:dyDescent="0.35"/>
    <row r="38" s="31" customFormat="1" ht="14.25" customHeight="1" x14ac:dyDescent="0.35"/>
    <row r="39" s="31" customFormat="1" ht="14.25" customHeight="1" x14ac:dyDescent="0.35"/>
    <row r="40" s="31" customFormat="1" ht="14.25" customHeight="1" x14ac:dyDescent="0.35"/>
    <row r="41" s="31" customFormat="1" ht="14.25" customHeight="1" x14ac:dyDescent="0.35"/>
    <row r="42" s="31" customFormat="1" ht="14.25" customHeight="1" x14ac:dyDescent="0.35"/>
    <row r="43" s="31" customFormat="1" ht="14.25" customHeight="1" x14ac:dyDescent="0.35"/>
    <row r="44" s="31" customFormat="1" ht="14.25" customHeight="1" x14ac:dyDescent="0.35"/>
    <row r="45" s="31" customFormat="1" ht="14.25" customHeight="1" x14ac:dyDescent="0.35"/>
    <row r="46" s="31" customFormat="1" ht="14.25" customHeight="1" x14ac:dyDescent="0.35"/>
    <row r="47" s="31" customFormat="1" ht="14.25" customHeight="1" x14ac:dyDescent="0.35"/>
    <row r="48" s="31" customFormat="1" ht="14.25" customHeight="1" x14ac:dyDescent="0.35"/>
    <row r="49" s="31" customFormat="1" ht="14.25" customHeight="1" x14ac:dyDescent="0.35"/>
    <row r="50" s="31" customFormat="1" ht="14.25" customHeight="1" x14ac:dyDescent="0.35"/>
    <row r="51" s="31" customFormat="1" ht="14.25" customHeight="1" x14ac:dyDescent="0.35"/>
    <row r="52" s="31" customFormat="1" ht="14.25" customHeight="1" x14ac:dyDescent="0.35"/>
    <row r="53" s="31" customFormat="1" ht="14.25" customHeight="1" x14ac:dyDescent="0.35"/>
    <row r="54" s="31" customFormat="1" ht="14.25" customHeight="1" x14ac:dyDescent="0.35"/>
    <row r="55" s="31" customFormat="1" ht="14.25" customHeight="1" x14ac:dyDescent="0.35"/>
    <row r="56" s="31" customFormat="1" ht="14.25" customHeight="1" x14ac:dyDescent="0.35"/>
    <row r="57" s="31" customFormat="1" ht="14.25" customHeight="1" x14ac:dyDescent="0.35"/>
    <row r="58" s="31" customFormat="1" ht="14.25" customHeight="1" x14ac:dyDescent="0.35"/>
    <row r="59" s="31" customFormat="1" ht="14.25" customHeight="1" x14ac:dyDescent="0.35"/>
    <row r="60" s="31" customFormat="1" ht="14.25" customHeight="1" x14ac:dyDescent="0.35"/>
    <row r="61" s="31" customFormat="1" ht="14.25" customHeight="1" x14ac:dyDescent="0.35"/>
    <row r="62" s="31" customFormat="1" ht="14.25" customHeight="1" x14ac:dyDescent="0.35"/>
    <row r="63" s="31" customFormat="1" ht="14.25" customHeight="1" x14ac:dyDescent="0.35"/>
    <row r="64" s="31" customFormat="1" ht="14.25" customHeight="1" x14ac:dyDescent="0.35"/>
    <row r="65" s="31" customFormat="1" ht="14.25" customHeight="1" x14ac:dyDescent="0.35"/>
    <row r="66" s="31" customFormat="1" ht="14.25" customHeight="1" x14ac:dyDescent="0.35"/>
    <row r="67" s="31" customFormat="1" ht="14.25" customHeight="1" x14ac:dyDescent="0.35"/>
    <row r="68" s="31" customFormat="1" ht="14.25" customHeight="1" x14ac:dyDescent="0.35"/>
    <row r="69" s="31" customFormat="1" ht="14.25" customHeight="1" x14ac:dyDescent="0.35"/>
    <row r="70" s="31" customFormat="1" ht="14.25" customHeight="1" x14ac:dyDescent="0.35"/>
    <row r="71" s="31" customFormat="1" ht="14.25" customHeight="1" x14ac:dyDescent="0.35"/>
    <row r="72" s="31" customFormat="1" ht="14.25" customHeight="1" x14ac:dyDescent="0.35"/>
    <row r="73" s="31" customFormat="1" ht="14.25" customHeight="1" x14ac:dyDescent="0.35"/>
    <row r="74" s="31" customFormat="1" ht="14.25" customHeight="1" x14ac:dyDescent="0.35"/>
    <row r="75" s="31" customFormat="1" ht="14.25" customHeight="1" x14ac:dyDescent="0.35"/>
    <row r="76" s="31" customFormat="1" ht="14.25" customHeight="1" x14ac:dyDescent="0.35"/>
    <row r="77" s="31" customFormat="1" ht="14.25" customHeight="1" x14ac:dyDescent="0.35"/>
    <row r="78" s="31" customFormat="1" ht="14.25" customHeight="1" x14ac:dyDescent="0.35"/>
    <row r="79" s="31" customFormat="1" ht="14.25" customHeight="1" x14ac:dyDescent="0.35"/>
    <row r="80" s="31" customFormat="1" ht="14.25" customHeight="1" x14ac:dyDescent="0.35"/>
    <row r="81" s="31" customFormat="1" ht="14.25" customHeight="1" x14ac:dyDescent="0.35"/>
    <row r="82" s="31" customFormat="1" ht="14.25" customHeight="1" x14ac:dyDescent="0.35"/>
    <row r="83" s="31" customFormat="1" ht="14.25" customHeight="1" x14ac:dyDescent="0.35"/>
    <row r="84" s="31" customFormat="1" ht="14.25" customHeight="1" x14ac:dyDescent="0.35"/>
    <row r="85" s="31" customFormat="1" ht="14.25" customHeight="1" x14ac:dyDescent="0.35"/>
    <row r="86" s="31" customFormat="1" ht="14.25" customHeight="1" x14ac:dyDescent="0.35"/>
    <row r="87" s="31" customFormat="1" ht="14.25" customHeight="1" x14ac:dyDescent="0.35"/>
    <row r="88" s="31" customFormat="1" ht="14.25" customHeight="1" x14ac:dyDescent="0.35"/>
    <row r="89" s="31" customFormat="1" ht="14.25" customHeight="1" x14ac:dyDescent="0.35"/>
    <row r="90" s="31" customFormat="1" ht="14.25" customHeight="1" x14ac:dyDescent="0.35"/>
    <row r="91" s="31" customFormat="1" ht="14.25" customHeight="1" x14ac:dyDescent="0.35"/>
    <row r="92" s="31" customFormat="1" ht="14.25" customHeight="1" x14ac:dyDescent="0.35"/>
    <row r="93" s="31" customFormat="1" ht="14.25" customHeight="1" x14ac:dyDescent="0.35"/>
    <row r="94" s="31" customFormat="1" ht="14.25" customHeight="1" x14ac:dyDescent="0.35"/>
    <row r="95" s="31" customFormat="1" ht="14.25" customHeight="1" x14ac:dyDescent="0.35"/>
    <row r="96" s="31" customFormat="1" ht="14.25" customHeight="1" x14ac:dyDescent="0.35"/>
    <row r="97" s="31" customFormat="1" ht="14.25" customHeight="1" x14ac:dyDescent="0.35"/>
    <row r="98" s="31" customFormat="1" ht="14.25" customHeight="1" x14ac:dyDescent="0.35"/>
    <row r="99" s="31" customFormat="1" ht="14.25" customHeight="1" x14ac:dyDescent="0.35"/>
    <row r="100" s="31" customFormat="1" ht="14.25" customHeight="1" x14ac:dyDescent="0.35"/>
    <row r="101" s="31" customFormat="1" ht="14.25" customHeight="1" x14ac:dyDescent="0.35"/>
    <row r="102" s="31" customFormat="1" ht="14.25" customHeight="1" x14ac:dyDescent="0.35"/>
    <row r="103" s="31" customFormat="1" ht="14.25" customHeight="1" x14ac:dyDescent="0.35"/>
    <row r="104" s="31" customFormat="1" ht="14.25" customHeight="1" x14ac:dyDescent="0.35"/>
    <row r="105" s="31" customFormat="1" ht="14.25" customHeight="1" x14ac:dyDescent="0.35"/>
    <row r="106" s="31" customFormat="1" ht="14.25" customHeight="1" x14ac:dyDescent="0.35"/>
    <row r="107" s="31" customFormat="1" ht="14.25" customHeight="1" x14ac:dyDescent="0.35"/>
    <row r="108" s="31" customFormat="1" ht="14.25" customHeight="1" x14ac:dyDescent="0.35"/>
    <row r="109" s="31" customFormat="1" ht="14.25" customHeight="1" x14ac:dyDescent="0.35"/>
    <row r="110" s="31" customFormat="1" ht="14.25" customHeight="1" x14ac:dyDescent="0.35"/>
    <row r="111" s="31" customFormat="1" ht="14.25" customHeight="1" x14ac:dyDescent="0.35"/>
    <row r="112" s="31" customFormat="1" ht="14.25" customHeight="1" x14ac:dyDescent="0.35"/>
    <row r="113" s="31" customFormat="1" ht="14.25" customHeight="1" x14ac:dyDescent="0.35"/>
    <row r="114" s="31" customFormat="1" ht="14.25" customHeight="1" x14ac:dyDescent="0.35"/>
    <row r="115" s="31" customFormat="1" ht="14.25" customHeight="1" x14ac:dyDescent="0.35"/>
    <row r="116" s="31" customFormat="1" ht="14.25" customHeight="1" x14ac:dyDescent="0.35"/>
    <row r="117" s="31" customFormat="1" ht="14.25" customHeight="1" x14ac:dyDescent="0.35"/>
    <row r="118" s="31" customFormat="1" ht="14.25" customHeight="1" x14ac:dyDescent="0.35"/>
    <row r="119" s="31" customFormat="1" ht="14.25" customHeight="1" x14ac:dyDescent="0.35"/>
    <row r="120" s="31" customFormat="1" ht="14.25" customHeight="1" x14ac:dyDescent="0.35"/>
    <row r="121" s="31" customFormat="1" ht="14.25" customHeight="1" x14ac:dyDescent="0.35"/>
    <row r="122" s="31" customFormat="1" ht="14.25" customHeight="1" x14ac:dyDescent="0.35"/>
    <row r="123" s="31" customFormat="1" ht="14.25" customHeight="1" x14ac:dyDescent="0.35"/>
    <row r="124" s="31" customFormat="1" ht="14.25" customHeight="1" x14ac:dyDescent="0.35"/>
    <row r="125" s="31" customFormat="1" ht="14.25" customHeight="1" x14ac:dyDescent="0.35"/>
    <row r="126" s="31" customFormat="1" ht="14.25" customHeight="1" x14ac:dyDescent="0.35"/>
    <row r="127" s="31" customFormat="1" ht="14.25" customHeight="1" x14ac:dyDescent="0.35"/>
    <row r="128" s="31" customFormat="1" ht="14.25" customHeight="1" x14ac:dyDescent="0.35"/>
    <row r="129" s="31" customFormat="1" ht="14.25" customHeight="1" x14ac:dyDescent="0.35"/>
    <row r="130" s="31" customFormat="1" ht="14.25" customHeight="1" x14ac:dyDescent="0.35"/>
    <row r="131" s="31" customFormat="1" ht="14.25" customHeight="1" x14ac:dyDescent="0.35"/>
    <row r="132" s="31" customFormat="1" ht="14.25" customHeight="1" x14ac:dyDescent="0.35"/>
    <row r="133" s="31" customFormat="1" ht="14.25" customHeight="1" x14ac:dyDescent="0.35"/>
    <row r="134" s="31" customFormat="1" ht="14.25" customHeight="1" x14ac:dyDescent="0.35"/>
    <row r="135" s="31" customFormat="1" ht="14.25" customHeight="1" x14ac:dyDescent="0.35"/>
    <row r="136" s="31" customFormat="1" ht="14.25" customHeight="1" x14ac:dyDescent="0.35"/>
    <row r="137" s="31" customFormat="1" ht="14.25" customHeight="1" x14ac:dyDescent="0.35"/>
    <row r="138" s="31" customFormat="1" ht="14.25" customHeight="1" x14ac:dyDescent="0.35"/>
    <row r="139" s="31" customFormat="1" ht="14.25" customHeight="1" x14ac:dyDescent="0.35"/>
    <row r="140" s="31" customFormat="1" ht="14.25" customHeight="1" x14ac:dyDescent="0.35"/>
    <row r="141" s="31" customFormat="1" ht="14.25" customHeight="1" x14ac:dyDescent="0.35"/>
    <row r="142" s="31" customFormat="1" ht="14.25" customHeight="1" x14ac:dyDescent="0.35"/>
    <row r="143" s="31" customFormat="1" ht="14.25" customHeight="1" x14ac:dyDescent="0.35"/>
    <row r="144" s="31" customFormat="1" ht="14.25" customHeight="1" x14ac:dyDescent="0.35"/>
    <row r="145" s="31" customFormat="1" ht="14.25" customHeight="1" x14ac:dyDescent="0.35"/>
    <row r="146" s="31" customFormat="1" ht="14.25" customHeight="1" x14ac:dyDescent="0.35"/>
    <row r="147" s="31" customFormat="1" ht="14.25" customHeight="1" x14ac:dyDescent="0.35"/>
    <row r="148" s="31" customFormat="1" ht="14.25" customHeight="1" x14ac:dyDescent="0.35"/>
    <row r="149" s="31" customFormat="1" ht="14.25" customHeight="1" x14ac:dyDescent="0.35"/>
    <row r="150" s="31" customFormat="1" ht="14.25" customHeight="1" x14ac:dyDescent="0.35"/>
    <row r="151" s="31" customFormat="1" ht="14.25" customHeight="1" x14ac:dyDescent="0.35"/>
    <row r="152" s="31" customFormat="1" ht="14.25" customHeight="1" x14ac:dyDescent="0.35"/>
    <row r="153" s="31" customFormat="1" ht="14.25" customHeight="1" x14ac:dyDescent="0.35"/>
    <row r="154" s="31" customFormat="1" ht="14.25" customHeight="1" x14ac:dyDescent="0.35"/>
    <row r="155" s="31" customFormat="1" ht="14.25" customHeight="1" x14ac:dyDescent="0.35"/>
    <row r="156" s="31" customFormat="1" ht="14.25" customHeight="1" x14ac:dyDescent="0.35"/>
    <row r="157" s="31" customFormat="1" ht="14.25" customHeight="1" x14ac:dyDescent="0.35"/>
    <row r="158" s="31" customFormat="1" ht="14.25" customHeight="1" x14ac:dyDescent="0.35"/>
    <row r="159" s="31" customFormat="1" ht="14.25" customHeight="1" x14ac:dyDescent="0.35"/>
    <row r="160" s="31" customFormat="1" ht="14.25" customHeight="1" x14ac:dyDescent="0.35"/>
    <row r="161" s="31" customFormat="1" ht="14.25" customHeight="1" x14ac:dyDescent="0.35"/>
    <row r="162" s="31" customFormat="1" ht="14.25" customHeight="1" x14ac:dyDescent="0.35"/>
    <row r="163" s="31" customFormat="1" ht="14.25" customHeight="1" x14ac:dyDescent="0.35"/>
    <row r="164" s="31" customFormat="1" ht="14.25" customHeight="1" x14ac:dyDescent="0.35"/>
    <row r="165" s="31" customFormat="1" ht="14.25" customHeight="1" x14ac:dyDescent="0.35"/>
    <row r="166" s="31" customFormat="1" ht="14.25" customHeight="1" x14ac:dyDescent="0.35"/>
    <row r="167" s="31" customFormat="1" ht="14.25" customHeight="1" x14ac:dyDescent="0.35"/>
    <row r="168" s="31" customFormat="1" ht="14.25" customHeight="1" x14ac:dyDescent="0.35"/>
    <row r="169" s="31" customFormat="1" ht="14.25" customHeight="1" x14ac:dyDescent="0.35"/>
    <row r="170" s="31" customFormat="1" ht="14.25" customHeight="1" x14ac:dyDescent="0.35"/>
    <row r="171" s="31" customFormat="1" ht="14.25" customHeight="1" x14ac:dyDescent="0.35"/>
    <row r="172" s="31" customFormat="1" ht="14.25" customHeight="1" x14ac:dyDescent="0.35"/>
    <row r="173" s="31" customFormat="1" ht="14.25" customHeight="1" x14ac:dyDescent="0.35"/>
    <row r="174" s="31" customFormat="1" ht="14.25" customHeight="1" x14ac:dyDescent="0.35"/>
    <row r="175" s="31" customFormat="1" ht="14.25" customHeight="1" x14ac:dyDescent="0.35"/>
    <row r="176" s="31" customFormat="1" ht="14.25" customHeight="1" x14ac:dyDescent="0.35"/>
    <row r="177" s="31" customFormat="1" ht="14.25" customHeight="1" x14ac:dyDescent="0.35"/>
    <row r="178" s="31" customFormat="1" ht="14.25" customHeight="1" x14ac:dyDescent="0.35"/>
    <row r="179" s="31" customFormat="1" ht="14.25" customHeight="1" x14ac:dyDescent="0.35"/>
    <row r="180" s="31" customFormat="1" ht="14.25" customHeight="1" x14ac:dyDescent="0.35"/>
    <row r="181" s="31" customFormat="1" ht="14.25" customHeight="1" x14ac:dyDescent="0.35"/>
    <row r="182" s="31" customFormat="1" ht="14.25" customHeight="1" x14ac:dyDescent="0.35"/>
    <row r="183" s="31" customFormat="1" ht="14.25" customHeight="1" x14ac:dyDescent="0.35"/>
    <row r="184" s="31" customFormat="1" ht="14.25" customHeight="1" x14ac:dyDescent="0.35"/>
    <row r="185" s="31" customFormat="1" ht="14.25" customHeight="1" x14ac:dyDescent="0.35"/>
    <row r="186" s="31" customFormat="1" ht="14.25" customHeight="1" x14ac:dyDescent="0.35"/>
    <row r="187" s="31" customFormat="1" ht="14.25" customHeight="1" x14ac:dyDescent="0.35"/>
    <row r="188" s="31" customFormat="1" ht="14.25" customHeight="1" x14ac:dyDescent="0.35"/>
    <row r="189" s="31" customFormat="1" ht="14.25" customHeight="1" x14ac:dyDescent="0.35"/>
    <row r="190" s="31" customFormat="1" ht="14.25" customHeight="1" x14ac:dyDescent="0.35"/>
    <row r="191" s="31" customFormat="1" ht="14.25" customHeight="1" x14ac:dyDescent="0.35"/>
    <row r="192" s="31" customFormat="1" ht="14.25" customHeight="1" x14ac:dyDescent="0.35"/>
    <row r="193" s="31" customFormat="1" ht="14.25" customHeight="1" x14ac:dyDescent="0.35"/>
    <row r="194" s="31" customFormat="1" ht="14.25" customHeight="1" x14ac:dyDescent="0.35"/>
    <row r="195" s="31" customFormat="1" ht="14.25" customHeight="1" x14ac:dyDescent="0.35"/>
    <row r="196" s="31" customFormat="1" ht="14.25" customHeight="1" x14ac:dyDescent="0.35"/>
    <row r="197" s="31" customFormat="1" ht="14.25" customHeight="1" x14ac:dyDescent="0.35"/>
    <row r="198" s="31" customFormat="1" ht="14.25" customHeight="1" x14ac:dyDescent="0.35"/>
    <row r="199" s="31" customFormat="1" ht="14.25" customHeight="1" x14ac:dyDescent="0.35"/>
    <row r="200" s="31" customFormat="1" ht="14.25" customHeight="1" x14ac:dyDescent="0.35"/>
    <row r="201" s="31" customFormat="1" ht="14.25" customHeight="1" x14ac:dyDescent="0.35"/>
    <row r="202" s="31" customFormat="1" ht="14.25" customHeight="1" x14ac:dyDescent="0.35"/>
    <row r="203" s="31" customFormat="1" ht="14.25" customHeight="1" x14ac:dyDescent="0.35"/>
    <row r="204" s="31" customFormat="1" ht="14.25" customHeight="1" x14ac:dyDescent="0.35"/>
    <row r="205" s="31" customFormat="1" ht="14.25" customHeight="1" x14ac:dyDescent="0.35"/>
    <row r="206" s="31" customFormat="1" ht="14.25" customHeight="1" x14ac:dyDescent="0.35"/>
    <row r="207" s="31" customFormat="1" ht="14.25" customHeight="1" x14ac:dyDescent="0.35"/>
    <row r="208" s="31" customFormat="1" ht="14.25" customHeight="1" x14ac:dyDescent="0.35"/>
    <row r="209" s="31" customFormat="1" ht="14.25" customHeight="1" x14ac:dyDescent="0.35"/>
    <row r="210" s="31" customFormat="1" ht="14.25" customHeight="1" x14ac:dyDescent="0.35"/>
    <row r="211" s="31" customFormat="1" ht="14.25" customHeight="1" x14ac:dyDescent="0.35"/>
    <row r="212" s="31" customFormat="1" ht="14.25" customHeight="1" x14ac:dyDescent="0.35"/>
    <row r="213" s="31" customFormat="1" ht="14.25" customHeight="1" x14ac:dyDescent="0.35"/>
    <row r="214" s="31" customFormat="1" ht="14.25" customHeight="1" x14ac:dyDescent="0.35"/>
    <row r="215" s="31" customFormat="1" ht="14.25" customHeight="1" x14ac:dyDescent="0.35"/>
    <row r="216" s="31" customFormat="1" ht="14.25" customHeight="1" x14ac:dyDescent="0.35"/>
    <row r="217" s="31" customFormat="1" ht="14.25" customHeight="1" x14ac:dyDescent="0.35"/>
    <row r="218" s="31" customFormat="1" ht="14.25" customHeight="1" x14ac:dyDescent="0.35"/>
    <row r="219" s="31" customFormat="1" ht="14.25" customHeight="1" x14ac:dyDescent="0.35"/>
    <row r="220" s="31" customFormat="1" ht="14.25" customHeight="1" x14ac:dyDescent="0.35"/>
    <row r="221" s="31" customFormat="1" ht="14.25" customHeight="1" x14ac:dyDescent="0.35"/>
    <row r="222" s="31" customFormat="1" ht="14.25" customHeight="1" x14ac:dyDescent="0.35"/>
    <row r="223" s="31" customFormat="1" ht="14.25" customHeight="1" x14ac:dyDescent="0.35"/>
    <row r="224" s="31" customFormat="1" ht="14.25" customHeight="1" x14ac:dyDescent="0.35"/>
    <row r="225" s="31" customFormat="1" ht="14.25" customHeight="1" x14ac:dyDescent="0.35"/>
    <row r="226" s="31" customFormat="1" ht="14.25" customHeight="1" x14ac:dyDescent="0.35"/>
    <row r="227" s="31" customFormat="1" ht="14.25" customHeight="1" x14ac:dyDescent="0.35"/>
    <row r="228" s="31" customFormat="1" ht="14.25" customHeight="1" x14ac:dyDescent="0.35"/>
    <row r="229" s="31" customFormat="1" ht="14.25" customHeight="1" x14ac:dyDescent="0.35"/>
    <row r="230" s="31" customFormat="1" ht="14.25" customHeight="1" x14ac:dyDescent="0.35"/>
    <row r="231" s="31" customFormat="1" ht="14.25" customHeight="1" x14ac:dyDescent="0.35"/>
    <row r="232" s="31" customFormat="1" ht="14.25" customHeight="1" x14ac:dyDescent="0.35"/>
    <row r="233" s="31" customFormat="1" ht="14.25" customHeight="1" x14ac:dyDescent="0.35"/>
    <row r="234" s="31" customFormat="1" ht="14.25" customHeight="1" x14ac:dyDescent="0.35"/>
    <row r="235" s="31" customFormat="1" ht="14.25" customHeight="1" x14ac:dyDescent="0.35"/>
    <row r="236" s="31" customFormat="1" ht="14.25" customHeight="1" x14ac:dyDescent="0.35"/>
    <row r="237" s="31" customFormat="1" ht="14.25" customHeight="1" x14ac:dyDescent="0.35"/>
    <row r="238" s="31" customFormat="1" ht="14.25" customHeight="1" x14ac:dyDescent="0.35"/>
    <row r="239" s="31" customFormat="1" ht="14.25" customHeight="1" x14ac:dyDescent="0.35"/>
    <row r="240" s="31" customFormat="1" ht="14.25" customHeight="1" x14ac:dyDescent="0.35"/>
    <row r="241" s="31" customFormat="1" ht="14.25" customHeight="1" x14ac:dyDescent="0.35"/>
    <row r="242" s="31" customFormat="1" ht="14.25" customHeight="1" x14ac:dyDescent="0.35"/>
    <row r="243" s="31" customFormat="1" ht="14.25" customHeight="1" x14ac:dyDescent="0.35"/>
    <row r="244" s="31" customFormat="1" ht="14.25" customHeight="1" x14ac:dyDescent="0.35"/>
    <row r="245" s="31" customFormat="1" ht="14.25" customHeight="1" x14ac:dyDescent="0.35"/>
    <row r="246" s="31" customFormat="1" ht="14.25" customHeight="1" x14ac:dyDescent="0.35"/>
    <row r="247" s="31" customFormat="1" ht="14.25" customHeight="1" x14ac:dyDescent="0.35"/>
    <row r="248" s="31" customFormat="1" ht="14.25" customHeight="1" x14ac:dyDescent="0.35"/>
    <row r="249" s="31" customFormat="1" ht="14.25" customHeight="1" x14ac:dyDescent="0.35"/>
    <row r="250" s="31" customFormat="1" ht="14.25" customHeight="1" x14ac:dyDescent="0.35"/>
    <row r="251" s="31" customFormat="1" ht="14.25" customHeight="1" x14ac:dyDescent="0.35"/>
    <row r="252" s="31" customFormat="1" ht="14.25" customHeight="1" x14ac:dyDescent="0.35"/>
    <row r="253" s="31" customFormat="1" ht="14.25" customHeight="1" x14ac:dyDescent="0.35"/>
    <row r="254" s="31" customFormat="1" ht="14.25" customHeight="1" x14ac:dyDescent="0.35"/>
    <row r="255" s="31" customFormat="1" ht="14.25" customHeight="1" x14ac:dyDescent="0.35"/>
    <row r="256" s="31" customFormat="1" ht="14.25" customHeight="1" x14ac:dyDescent="0.35"/>
    <row r="257" s="31" customFormat="1" ht="14.25" customHeight="1" x14ac:dyDescent="0.35"/>
    <row r="258" s="31" customFormat="1" ht="14.25" customHeight="1" x14ac:dyDescent="0.35"/>
    <row r="259" s="31" customFormat="1" ht="14.25" customHeight="1" x14ac:dyDescent="0.35"/>
    <row r="260" s="31" customFormat="1" ht="14.25" customHeight="1" x14ac:dyDescent="0.35"/>
    <row r="261" s="31" customFormat="1" ht="14.25" customHeight="1" x14ac:dyDescent="0.35"/>
    <row r="262" s="31" customFormat="1" ht="14.25" customHeight="1" x14ac:dyDescent="0.35"/>
    <row r="263" s="31" customFormat="1" ht="14.25" customHeight="1" x14ac:dyDescent="0.35"/>
    <row r="264" s="31" customFormat="1" ht="14.25" customHeight="1" x14ac:dyDescent="0.35"/>
    <row r="265" s="31" customFormat="1" ht="14.25" customHeight="1" x14ac:dyDescent="0.35"/>
    <row r="266" s="31" customFormat="1" ht="14.25" customHeight="1" x14ac:dyDescent="0.35"/>
    <row r="267" s="31" customFormat="1" ht="14.25" customHeight="1" x14ac:dyDescent="0.35"/>
    <row r="268" s="31" customFormat="1" ht="14.25" customHeight="1" x14ac:dyDescent="0.35"/>
    <row r="269" s="31" customFormat="1" ht="14.25" customHeight="1" x14ac:dyDescent="0.35"/>
    <row r="270" s="31" customFormat="1" ht="14.25" customHeight="1" x14ac:dyDescent="0.35"/>
    <row r="271" s="31" customFormat="1" ht="14.25" customHeight="1" x14ac:dyDescent="0.35"/>
    <row r="272" s="31" customFormat="1" ht="14.25" customHeight="1" x14ac:dyDescent="0.35"/>
    <row r="273" s="31" customFormat="1" ht="14.25" customHeight="1" x14ac:dyDescent="0.35"/>
    <row r="274" s="31" customFormat="1" ht="14.25" customHeight="1" x14ac:dyDescent="0.35"/>
    <row r="275" s="31" customFormat="1" ht="14.25" customHeight="1" x14ac:dyDescent="0.35"/>
    <row r="276" s="31" customFormat="1" ht="14.25" customHeight="1" x14ac:dyDescent="0.35"/>
    <row r="277" s="31" customFormat="1" ht="14.25" customHeight="1" x14ac:dyDescent="0.35"/>
    <row r="278" s="31" customFormat="1" ht="14.25" customHeight="1" x14ac:dyDescent="0.35"/>
    <row r="279" s="31" customFormat="1" ht="14.25" customHeight="1" x14ac:dyDescent="0.35"/>
    <row r="280" s="31" customFormat="1" ht="14.25" customHeight="1" x14ac:dyDescent="0.35"/>
    <row r="281" s="31" customFormat="1" ht="14.25" customHeight="1" x14ac:dyDescent="0.35"/>
    <row r="282" s="31" customFormat="1" ht="14.25" customHeight="1" x14ac:dyDescent="0.35"/>
    <row r="283" s="31" customFormat="1" ht="14.25" customHeight="1" x14ac:dyDescent="0.35"/>
    <row r="284" s="31" customFormat="1" ht="14.25" customHeight="1" x14ac:dyDescent="0.35"/>
    <row r="285" s="31" customFormat="1" ht="14.25" customHeight="1" x14ac:dyDescent="0.35"/>
    <row r="286" s="31" customFormat="1" ht="14.25" customHeight="1" x14ac:dyDescent="0.35"/>
    <row r="287" s="31" customFormat="1" ht="14.25" customHeight="1" x14ac:dyDescent="0.35"/>
    <row r="288" s="31" customFormat="1" ht="14.25" customHeight="1" x14ac:dyDescent="0.35"/>
    <row r="289" s="31" customFormat="1" ht="14.25" customHeight="1" x14ac:dyDescent="0.35"/>
    <row r="290" s="31" customFormat="1" ht="14.25" customHeight="1" x14ac:dyDescent="0.35"/>
    <row r="291" s="31" customFormat="1" ht="14.25" customHeight="1" x14ac:dyDescent="0.35"/>
    <row r="292" s="31" customFormat="1" ht="14.25" customHeight="1" x14ac:dyDescent="0.35"/>
    <row r="293" s="31" customFormat="1" ht="14.25" customHeight="1" x14ac:dyDescent="0.35"/>
    <row r="294" s="31" customFormat="1" ht="14.25" customHeight="1" x14ac:dyDescent="0.35"/>
    <row r="295" s="31" customFormat="1" ht="14.25" customHeight="1" x14ac:dyDescent="0.35"/>
    <row r="296" s="31" customFormat="1" ht="14.25" customHeight="1" x14ac:dyDescent="0.35"/>
    <row r="297" s="31" customFormat="1" ht="14.25" customHeight="1" x14ac:dyDescent="0.35"/>
    <row r="298" s="31" customFormat="1" ht="14.25" customHeight="1" x14ac:dyDescent="0.35"/>
    <row r="299" s="31" customFormat="1" ht="14.25" customHeight="1" x14ac:dyDescent="0.35"/>
    <row r="300" s="31" customFormat="1" ht="14.25" customHeight="1" x14ac:dyDescent="0.35"/>
    <row r="301" s="31" customFormat="1" ht="14.25" customHeight="1" x14ac:dyDescent="0.35"/>
    <row r="302" s="31" customFormat="1" ht="14.25" customHeight="1" x14ac:dyDescent="0.35"/>
    <row r="303" s="31" customFormat="1" ht="14.25" customHeight="1" x14ac:dyDescent="0.35"/>
    <row r="304" s="31" customFormat="1" ht="14.25" customHeight="1" x14ac:dyDescent="0.35"/>
    <row r="305" s="31" customFormat="1" ht="14.25" customHeight="1" x14ac:dyDescent="0.35"/>
    <row r="306" s="31" customFormat="1" ht="14.25" customHeight="1" x14ac:dyDescent="0.35"/>
    <row r="307" s="31" customFormat="1" ht="14.25" customHeight="1" x14ac:dyDescent="0.35"/>
    <row r="308" s="31" customFormat="1" ht="14.25" customHeight="1" x14ac:dyDescent="0.35"/>
    <row r="309" s="31" customFormat="1" ht="14.25" customHeight="1" x14ac:dyDescent="0.35"/>
    <row r="310" s="31" customFormat="1" ht="14.25" customHeight="1" x14ac:dyDescent="0.35"/>
    <row r="311" s="31" customFormat="1" ht="14.25" customHeight="1" x14ac:dyDescent="0.35"/>
    <row r="312" s="31" customFormat="1" ht="14.25" customHeight="1" x14ac:dyDescent="0.35"/>
    <row r="313" s="31" customFormat="1" ht="14.25" customHeight="1" x14ac:dyDescent="0.35"/>
    <row r="314" s="31" customFormat="1" ht="14.25" customHeight="1" x14ac:dyDescent="0.35"/>
    <row r="315" s="31" customFormat="1" ht="14.25" customHeight="1" x14ac:dyDescent="0.35"/>
    <row r="316" s="31" customFormat="1" ht="14.25" customHeight="1" x14ac:dyDescent="0.35"/>
    <row r="317" s="31" customFormat="1" ht="14.25" customHeight="1" x14ac:dyDescent="0.35"/>
    <row r="318" s="31" customFormat="1" ht="14.25" customHeight="1" x14ac:dyDescent="0.35"/>
    <row r="319" s="31" customFormat="1" ht="14.25" customHeight="1" x14ac:dyDescent="0.35"/>
    <row r="320" s="31" customFormat="1" ht="14.25" customHeight="1" x14ac:dyDescent="0.35"/>
    <row r="321" s="31" customFormat="1" ht="14.25" customHeight="1" x14ac:dyDescent="0.35"/>
    <row r="322" s="31" customFormat="1" ht="14.25" customHeight="1" x14ac:dyDescent="0.35"/>
    <row r="323" s="31" customFormat="1" ht="14.25" customHeight="1" x14ac:dyDescent="0.35"/>
    <row r="324" s="31" customFormat="1" ht="14.25" customHeight="1" x14ac:dyDescent="0.35"/>
    <row r="325" s="31" customFormat="1" ht="14.25" customHeight="1" x14ac:dyDescent="0.35"/>
    <row r="326" s="31" customFormat="1" ht="14.25" customHeight="1" x14ac:dyDescent="0.35"/>
    <row r="327" s="31" customFormat="1" ht="14.25" customHeight="1" x14ac:dyDescent="0.35"/>
    <row r="328" s="31" customFormat="1" ht="14.25" customHeight="1" x14ac:dyDescent="0.35"/>
    <row r="329" s="31" customFormat="1" ht="14.25" customHeight="1" x14ac:dyDescent="0.35"/>
    <row r="330" s="31" customFormat="1" ht="14.25" customHeight="1" x14ac:dyDescent="0.35"/>
    <row r="331" s="31" customFormat="1" ht="14.25" customHeight="1" x14ac:dyDescent="0.35"/>
    <row r="332" s="31" customFormat="1" ht="14.25" customHeight="1" x14ac:dyDescent="0.35"/>
    <row r="333" s="31" customFormat="1" ht="14.25" customHeight="1" x14ac:dyDescent="0.35"/>
    <row r="334" s="31" customFormat="1" ht="14.25" customHeight="1" x14ac:dyDescent="0.35"/>
    <row r="335" s="31" customFormat="1" ht="14.25" customHeight="1" x14ac:dyDescent="0.35"/>
    <row r="336" s="31" customFormat="1" ht="14.25" customHeight="1" x14ac:dyDescent="0.35"/>
    <row r="337" s="31" customFormat="1" ht="14.25" customHeight="1" x14ac:dyDescent="0.35"/>
    <row r="338" s="31" customFormat="1" ht="14.25" customHeight="1" x14ac:dyDescent="0.35"/>
    <row r="339" s="31" customFormat="1" ht="14.25" customHeight="1" x14ac:dyDescent="0.35"/>
    <row r="340" s="31" customFormat="1" ht="14.25" customHeight="1" x14ac:dyDescent="0.35"/>
    <row r="341" s="31" customFormat="1" ht="14.25" customHeight="1" x14ac:dyDescent="0.35"/>
    <row r="342" s="31" customFormat="1" ht="14.25" customHeight="1" x14ac:dyDescent="0.35"/>
    <row r="343" s="31" customFormat="1" ht="14.25" customHeight="1" x14ac:dyDescent="0.35"/>
    <row r="344" s="31" customFormat="1" ht="14.25" customHeight="1" x14ac:dyDescent="0.35"/>
    <row r="345" s="31" customFormat="1" ht="14.25" customHeight="1" x14ac:dyDescent="0.35"/>
    <row r="346" s="31" customFormat="1" ht="14.25" customHeight="1" x14ac:dyDescent="0.35"/>
    <row r="347" s="31" customFormat="1" ht="14.25" customHeight="1" x14ac:dyDescent="0.35"/>
    <row r="348" s="31" customFormat="1" ht="14.25" customHeight="1" x14ac:dyDescent="0.35"/>
    <row r="349" s="31" customFormat="1" ht="14.25" customHeight="1" x14ac:dyDescent="0.35"/>
    <row r="350" s="31" customFormat="1" ht="14.25" customHeight="1" x14ac:dyDescent="0.35"/>
    <row r="351" s="31" customFormat="1" ht="14.25" customHeight="1" x14ac:dyDescent="0.35"/>
    <row r="352" s="31" customFormat="1" ht="14.25" customHeight="1" x14ac:dyDescent="0.35"/>
    <row r="353" s="31" customFormat="1" ht="14.25" customHeight="1" x14ac:dyDescent="0.35"/>
    <row r="354" s="31" customFormat="1" ht="14.25" customHeight="1" x14ac:dyDescent="0.35"/>
    <row r="355" s="31" customFormat="1" ht="14.25" customHeight="1" x14ac:dyDescent="0.35"/>
    <row r="356" s="31" customFormat="1" ht="14.25" customHeight="1" x14ac:dyDescent="0.35"/>
    <row r="357" s="31" customFormat="1" ht="14.25" customHeight="1" x14ac:dyDescent="0.35"/>
    <row r="358" s="31" customFormat="1" ht="14.25" customHeight="1" x14ac:dyDescent="0.35"/>
    <row r="359" s="31" customFormat="1" ht="14.25" customHeight="1" x14ac:dyDescent="0.35"/>
    <row r="360" s="31" customFormat="1" ht="14.25" customHeight="1" x14ac:dyDescent="0.35"/>
    <row r="361" s="31" customFormat="1" ht="14.25" customHeight="1" x14ac:dyDescent="0.35"/>
    <row r="362" s="31" customFormat="1" ht="14.25" customHeight="1" x14ac:dyDescent="0.35"/>
    <row r="363" s="31" customFormat="1" ht="14.25" customHeight="1" x14ac:dyDescent="0.35"/>
    <row r="364" s="31" customFormat="1" ht="14.25" customHeight="1" x14ac:dyDescent="0.35"/>
    <row r="365" s="31" customFormat="1" ht="14.25" customHeight="1" x14ac:dyDescent="0.35"/>
    <row r="366" s="31" customFormat="1" ht="14.25" customHeight="1" x14ac:dyDescent="0.35"/>
    <row r="367" s="31" customFormat="1" ht="14.25" customHeight="1" x14ac:dyDescent="0.35"/>
    <row r="368" s="31" customFormat="1" ht="14.25" customHeight="1" x14ac:dyDescent="0.35"/>
    <row r="369" s="31" customFormat="1" ht="14.25" customHeight="1" x14ac:dyDescent="0.35"/>
    <row r="370" s="31" customFormat="1" ht="14.25" customHeight="1" x14ac:dyDescent="0.35"/>
    <row r="371" s="31" customFormat="1" ht="14.25" customHeight="1" x14ac:dyDescent="0.35"/>
    <row r="372" s="31" customFormat="1" ht="14.25" customHeight="1" x14ac:dyDescent="0.35"/>
    <row r="373" s="31" customFormat="1" ht="14.25" customHeight="1" x14ac:dyDescent="0.35"/>
    <row r="374" s="31" customFormat="1" ht="14.25" customHeight="1" x14ac:dyDescent="0.35"/>
    <row r="375" s="31" customFormat="1" ht="14.25" customHeight="1" x14ac:dyDescent="0.35"/>
    <row r="376" s="31" customFormat="1" ht="14.25" customHeight="1" x14ac:dyDescent="0.35"/>
    <row r="377" s="31" customFormat="1" ht="14.25" customHeight="1" x14ac:dyDescent="0.35"/>
    <row r="378" s="31" customFormat="1" ht="14.25" customHeight="1" x14ac:dyDescent="0.35"/>
    <row r="379" s="31" customFormat="1" ht="14.25" customHeight="1" x14ac:dyDescent="0.35"/>
    <row r="380" s="31" customFormat="1" ht="14.25" customHeight="1" x14ac:dyDescent="0.35"/>
    <row r="381" s="31" customFormat="1" ht="14.25" customHeight="1" x14ac:dyDescent="0.35"/>
    <row r="382" s="31" customFormat="1" ht="14.25" customHeight="1" x14ac:dyDescent="0.35"/>
    <row r="383" s="31" customFormat="1" ht="14.25" customHeight="1" x14ac:dyDescent="0.35"/>
    <row r="384" s="31" customFormat="1" ht="14.25" customHeight="1" x14ac:dyDescent="0.35"/>
    <row r="385" s="31" customFormat="1" ht="14.25" customHeight="1" x14ac:dyDescent="0.35"/>
    <row r="386" s="31" customFormat="1" ht="14.25" customHeight="1" x14ac:dyDescent="0.35"/>
    <row r="387" s="31" customFormat="1" ht="14.25" customHeight="1" x14ac:dyDescent="0.35"/>
    <row r="388" s="31" customFormat="1" ht="14.25" customHeight="1" x14ac:dyDescent="0.35"/>
    <row r="389" s="31" customFormat="1" ht="14.25" customHeight="1" x14ac:dyDescent="0.35"/>
    <row r="390" s="31" customFormat="1" ht="14.25" customHeight="1" x14ac:dyDescent="0.35"/>
    <row r="391" s="31" customFormat="1" ht="14.25" customHeight="1" x14ac:dyDescent="0.35"/>
    <row r="392" s="31" customFormat="1" ht="14.25" customHeight="1" x14ac:dyDescent="0.35"/>
    <row r="393" s="31" customFormat="1" ht="14.25" customHeight="1" x14ac:dyDescent="0.35"/>
    <row r="394" s="31" customFormat="1" ht="14.25" customHeight="1" x14ac:dyDescent="0.35"/>
    <row r="395" s="31" customFormat="1" ht="14.25" customHeight="1" x14ac:dyDescent="0.35"/>
    <row r="396" s="31" customFormat="1" ht="14.25" customHeight="1" x14ac:dyDescent="0.35"/>
    <row r="397" s="31" customFormat="1" ht="14.25" customHeight="1" x14ac:dyDescent="0.35"/>
    <row r="398" s="31" customFormat="1" ht="14.25" customHeight="1" x14ac:dyDescent="0.35"/>
    <row r="399" s="31" customFormat="1" ht="14.25" customHeight="1" x14ac:dyDescent="0.35"/>
    <row r="400" s="31" customFormat="1" ht="14.25" customHeight="1" x14ac:dyDescent="0.35"/>
    <row r="401" s="31" customFormat="1" ht="14.25" customHeight="1" x14ac:dyDescent="0.35"/>
    <row r="402" s="31" customFormat="1" ht="14.25" customHeight="1" x14ac:dyDescent="0.35"/>
    <row r="403" s="31" customFormat="1" ht="14.25" customHeight="1" x14ac:dyDescent="0.35"/>
    <row r="404" s="31" customFormat="1" ht="14.25" customHeight="1" x14ac:dyDescent="0.35"/>
    <row r="405" s="31" customFormat="1" ht="14.25" customHeight="1" x14ac:dyDescent="0.35"/>
    <row r="406" s="31" customFormat="1" ht="14.25" customHeight="1" x14ac:dyDescent="0.35"/>
    <row r="407" s="31" customFormat="1" ht="14.25" customHeight="1" x14ac:dyDescent="0.35"/>
    <row r="408" s="31" customFormat="1" ht="14.25" customHeight="1" x14ac:dyDescent="0.35"/>
    <row r="409" s="31" customFormat="1" ht="14.25" customHeight="1" x14ac:dyDescent="0.35"/>
    <row r="410" s="31" customFormat="1" ht="14.25" customHeight="1" x14ac:dyDescent="0.35"/>
    <row r="411" s="31" customFormat="1" ht="14.25" customHeight="1" x14ac:dyDescent="0.35"/>
    <row r="412" s="31" customFormat="1" ht="14.25" customHeight="1" x14ac:dyDescent="0.35"/>
    <row r="413" s="31" customFormat="1" ht="14.25" customHeight="1" x14ac:dyDescent="0.35"/>
    <row r="414" s="31" customFormat="1" ht="14.25" customHeight="1" x14ac:dyDescent="0.35"/>
    <row r="415" s="31" customFormat="1" ht="14.25" customHeight="1" x14ac:dyDescent="0.35"/>
    <row r="416" s="31" customFormat="1" ht="14.25" customHeight="1" x14ac:dyDescent="0.35"/>
    <row r="417" s="31" customFormat="1" ht="14.25" customHeight="1" x14ac:dyDescent="0.35"/>
    <row r="418" s="31" customFormat="1" ht="14.25" customHeight="1" x14ac:dyDescent="0.35"/>
    <row r="419" s="31" customFormat="1" ht="14.25" customHeight="1" x14ac:dyDescent="0.35"/>
    <row r="420" s="31" customFormat="1" ht="14.25" customHeight="1" x14ac:dyDescent="0.35"/>
    <row r="421" s="31" customFormat="1" ht="14.25" customHeight="1" x14ac:dyDescent="0.35"/>
    <row r="422" s="31" customFormat="1" ht="14.25" customHeight="1" x14ac:dyDescent="0.35"/>
    <row r="423" s="31" customFormat="1" ht="14.25" customHeight="1" x14ac:dyDescent="0.35"/>
    <row r="424" s="31" customFormat="1" ht="14.25" customHeight="1" x14ac:dyDescent="0.35"/>
    <row r="425" s="31" customFormat="1" ht="14.25" customHeight="1" x14ac:dyDescent="0.35"/>
    <row r="426" s="31" customFormat="1" ht="14.25" customHeight="1" x14ac:dyDescent="0.35"/>
    <row r="427" s="31" customFormat="1" ht="14.25" customHeight="1" x14ac:dyDescent="0.35"/>
    <row r="428" s="31" customFormat="1" ht="14.25" customHeight="1" x14ac:dyDescent="0.35"/>
    <row r="429" s="31" customFormat="1" ht="14.25" customHeight="1" x14ac:dyDescent="0.35"/>
    <row r="430" s="31" customFormat="1" ht="14.25" customHeight="1" x14ac:dyDescent="0.35"/>
    <row r="431" s="31" customFormat="1" ht="14.25" customHeight="1" x14ac:dyDescent="0.35"/>
    <row r="432" s="31" customFormat="1" ht="14.25" customHeight="1" x14ac:dyDescent="0.35"/>
    <row r="433" s="31" customFormat="1" ht="14.25" customHeight="1" x14ac:dyDescent="0.35"/>
    <row r="434" s="31" customFormat="1" ht="14.25" customHeight="1" x14ac:dyDescent="0.35"/>
    <row r="435" s="31" customFormat="1" ht="14.25" customHeight="1" x14ac:dyDescent="0.35"/>
    <row r="436" s="31" customFormat="1" ht="14.25" customHeight="1" x14ac:dyDescent="0.35"/>
    <row r="437" s="31" customFormat="1" ht="14.25" customHeight="1" x14ac:dyDescent="0.35"/>
    <row r="438" s="31" customFormat="1" ht="14.25" customHeight="1" x14ac:dyDescent="0.35"/>
    <row r="439" s="31" customFormat="1" ht="14.25" customHeight="1" x14ac:dyDescent="0.35"/>
    <row r="440" s="31" customFormat="1" ht="14.25" customHeight="1" x14ac:dyDescent="0.35"/>
    <row r="441" s="31" customFormat="1" ht="14.25" customHeight="1" x14ac:dyDescent="0.35"/>
    <row r="442" s="31" customFormat="1" ht="14.25" customHeight="1" x14ac:dyDescent="0.35"/>
    <row r="443" s="31" customFormat="1" ht="14.25" customHeight="1" x14ac:dyDescent="0.35"/>
    <row r="444" s="31" customFormat="1" ht="14.25" customHeight="1" x14ac:dyDescent="0.35"/>
    <row r="445" s="31" customFormat="1" ht="14.25" customHeight="1" x14ac:dyDescent="0.35"/>
    <row r="446" s="31" customFormat="1" ht="14.25" customHeight="1" x14ac:dyDescent="0.35"/>
    <row r="447" s="31" customFormat="1" ht="14.25" customHeight="1" x14ac:dyDescent="0.35"/>
    <row r="448" s="31" customFormat="1" ht="14.25" customHeight="1" x14ac:dyDescent="0.35"/>
    <row r="449" s="31" customFormat="1" ht="14.25" customHeight="1" x14ac:dyDescent="0.35"/>
    <row r="450" s="31" customFormat="1" ht="14.25" customHeight="1" x14ac:dyDescent="0.35"/>
    <row r="451" s="31" customFormat="1" ht="14.25" customHeight="1" x14ac:dyDescent="0.35"/>
    <row r="452" s="31" customFormat="1" ht="14.25" customHeight="1" x14ac:dyDescent="0.35"/>
    <row r="453" s="31" customFormat="1" ht="14.25" customHeight="1" x14ac:dyDescent="0.35"/>
    <row r="454" s="31" customFormat="1" ht="14.25" customHeight="1" x14ac:dyDescent="0.35"/>
    <row r="455" s="31" customFormat="1" ht="14.25" customHeight="1" x14ac:dyDescent="0.35"/>
    <row r="456" s="31" customFormat="1" ht="14.25" customHeight="1" x14ac:dyDescent="0.35"/>
    <row r="457" s="31" customFormat="1" ht="14.25" customHeight="1" x14ac:dyDescent="0.35"/>
    <row r="458" s="31" customFormat="1" ht="14.25" customHeight="1" x14ac:dyDescent="0.35"/>
    <row r="459" s="31" customFormat="1" ht="14.25" customHeight="1" x14ac:dyDescent="0.35"/>
    <row r="460" s="31" customFormat="1" ht="14.25" customHeight="1" x14ac:dyDescent="0.35"/>
    <row r="461" s="31" customFormat="1" ht="14.25" customHeight="1" x14ac:dyDescent="0.35"/>
    <row r="462" s="31" customFormat="1" ht="14.25" customHeight="1" x14ac:dyDescent="0.35"/>
    <row r="463" s="31" customFormat="1" ht="14.25" customHeight="1" x14ac:dyDescent="0.35"/>
    <row r="464" s="31" customFormat="1" ht="14.25" customHeight="1" x14ac:dyDescent="0.35"/>
    <row r="465" s="31" customFormat="1" ht="14.25" customHeight="1" x14ac:dyDescent="0.35"/>
    <row r="466" s="31" customFormat="1" ht="14.25" customHeight="1" x14ac:dyDescent="0.35"/>
    <row r="467" s="31" customFormat="1" ht="14.25" customHeight="1" x14ac:dyDescent="0.35"/>
    <row r="468" s="31" customFormat="1" ht="14.25" customHeight="1" x14ac:dyDescent="0.35"/>
    <row r="469" s="31" customFormat="1" ht="14.25" customHeight="1" x14ac:dyDescent="0.35"/>
    <row r="470" s="31" customFormat="1" ht="14.25" customHeight="1" x14ac:dyDescent="0.35"/>
    <row r="471" s="31" customFormat="1" ht="14.25" customHeight="1" x14ac:dyDescent="0.35"/>
    <row r="472" s="31" customFormat="1" ht="14.25" customHeight="1" x14ac:dyDescent="0.35"/>
    <row r="473" s="31" customFormat="1" ht="14.25" customHeight="1" x14ac:dyDescent="0.35"/>
    <row r="474" s="31" customFormat="1" ht="14.25" customHeight="1" x14ac:dyDescent="0.35"/>
    <row r="475" s="31" customFormat="1" ht="14.25" customHeight="1" x14ac:dyDescent="0.35"/>
    <row r="476" s="31" customFormat="1" ht="14.25" customHeight="1" x14ac:dyDescent="0.35"/>
    <row r="477" s="31" customFormat="1" ht="14.25" customHeight="1" x14ac:dyDescent="0.35"/>
    <row r="478" s="31" customFormat="1" ht="14.25" customHeight="1" x14ac:dyDescent="0.35"/>
    <row r="479" s="31" customFormat="1" ht="14.25" customHeight="1" x14ac:dyDescent="0.35"/>
    <row r="480" s="31" customFormat="1" ht="14.25" customHeight="1" x14ac:dyDescent="0.35"/>
    <row r="481" s="31" customFormat="1" ht="14.25" customHeight="1" x14ac:dyDescent="0.35"/>
    <row r="482" s="31" customFormat="1" ht="14.25" customHeight="1" x14ac:dyDescent="0.35"/>
    <row r="483" s="31" customFormat="1" ht="14.25" customHeight="1" x14ac:dyDescent="0.35"/>
    <row r="484" s="31" customFormat="1" ht="14.25" customHeight="1" x14ac:dyDescent="0.35"/>
    <row r="485" s="31" customFormat="1" ht="14.25" customHeight="1" x14ac:dyDescent="0.35"/>
    <row r="486" s="31" customFormat="1" ht="14.25" customHeight="1" x14ac:dyDescent="0.35"/>
    <row r="487" s="31" customFormat="1" ht="14.25" customHeight="1" x14ac:dyDescent="0.35"/>
    <row r="488" s="31" customFormat="1" ht="14.25" customHeight="1" x14ac:dyDescent="0.35"/>
    <row r="489" s="31" customFormat="1" ht="14.25" customHeight="1" x14ac:dyDescent="0.35"/>
    <row r="490" s="31" customFormat="1" ht="14.25" customHeight="1" x14ac:dyDescent="0.35"/>
    <row r="491" s="31" customFormat="1" ht="14.25" customHeight="1" x14ac:dyDescent="0.35"/>
    <row r="492" s="31" customFormat="1" ht="14.25" customHeight="1" x14ac:dyDescent="0.35"/>
    <row r="493" s="31" customFormat="1" ht="14.25" customHeight="1" x14ac:dyDescent="0.35"/>
    <row r="494" s="31" customFormat="1" ht="14.25" customHeight="1" x14ac:dyDescent="0.35"/>
    <row r="495" s="31" customFormat="1" ht="14.25" customHeight="1" x14ac:dyDescent="0.35"/>
    <row r="496" s="31" customFormat="1" ht="14.25" customHeight="1" x14ac:dyDescent="0.35"/>
    <row r="497" s="31" customFormat="1" ht="14.25" customHeight="1" x14ac:dyDescent="0.35"/>
    <row r="498" s="31" customFormat="1" ht="14.25" customHeight="1" x14ac:dyDescent="0.35"/>
    <row r="499" s="31" customFormat="1" ht="14.25" customHeight="1" x14ac:dyDescent="0.35"/>
    <row r="500" s="31" customFormat="1" ht="14.25" customHeight="1" x14ac:dyDescent="0.35"/>
    <row r="501" s="31" customFormat="1" ht="14.25" customHeight="1" x14ac:dyDescent="0.35"/>
    <row r="502" s="31" customFormat="1" ht="14.25" customHeight="1" x14ac:dyDescent="0.35"/>
    <row r="503" s="31" customFormat="1" ht="14.25" customHeight="1" x14ac:dyDescent="0.35"/>
    <row r="504" s="31" customFormat="1" ht="14.25" customHeight="1" x14ac:dyDescent="0.35"/>
    <row r="505" s="31" customFormat="1" ht="14.25" customHeight="1" x14ac:dyDescent="0.35"/>
    <row r="506" s="31" customFormat="1" ht="14.25" customHeight="1" x14ac:dyDescent="0.35"/>
    <row r="507" s="31" customFormat="1" ht="14.25" customHeight="1" x14ac:dyDescent="0.35"/>
    <row r="508" s="31" customFormat="1" ht="14.25" customHeight="1" x14ac:dyDescent="0.35"/>
    <row r="509" s="31" customFormat="1" ht="14.25" customHeight="1" x14ac:dyDescent="0.35"/>
    <row r="510" s="31" customFormat="1" ht="14.25" customHeight="1" x14ac:dyDescent="0.35"/>
    <row r="511" s="31" customFormat="1" ht="14.25" customHeight="1" x14ac:dyDescent="0.35"/>
    <row r="512" s="31" customFormat="1" ht="14.25" customHeight="1" x14ac:dyDescent="0.35"/>
    <row r="513" s="31" customFormat="1" ht="14.25" customHeight="1" x14ac:dyDescent="0.35"/>
    <row r="514" s="31" customFormat="1" ht="14.25" customHeight="1" x14ac:dyDescent="0.35"/>
    <row r="515" s="31" customFormat="1" ht="14.25" customHeight="1" x14ac:dyDescent="0.35"/>
    <row r="516" s="31" customFormat="1" ht="14.25" customHeight="1" x14ac:dyDescent="0.35"/>
    <row r="517" s="31" customFormat="1" ht="14.25" customHeight="1" x14ac:dyDescent="0.35"/>
    <row r="518" s="31" customFormat="1" ht="14.25" customHeight="1" x14ac:dyDescent="0.35"/>
    <row r="519" s="31" customFormat="1" ht="14.25" customHeight="1" x14ac:dyDescent="0.35"/>
    <row r="520" s="31" customFormat="1" ht="14.25" customHeight="1" x14ac:dyDescent="0.35"/>
    <row r="521" s="31" customFormat="1" ht="14.25" customHeight="1" x14ac:dyDescent="0.35"/>
    <row r="522" s="31" customFormat="1" ht="14.25" customHeight="1" x14ac:dyDescent="0.35"/>
    <row r="523" s="31" customFormat="1" ht="14.25" customHeight="1" x14ac:dyDescent="0.35"/>
    <row r="524" s="31" customFormat="1" ht="14.25" customHeight="1" x14ac:dyDescent="0.35"/>
    <row r="525" s="31" customFormat="1" ht="14.25" customHeight="1" x14ac:dyDescent="0.35"/>
    <row r="526" s="31" customFormat="1" ht="14.25" customHeight="1" x14ac:dyDescent="0.35"/>
    <row r="527" s="31" customFormat="1" ht="14.25" customHeight="1" x14ac:dyDescent="0.35"/>
    <row r="528" s="31" customFormat="1" ht="14.25" customHeight="1" x14ac:dyDescent="0.35"/>
    <row r="529" s="31" customFormat="1" ht="14.25" customHeight="1" x14ac:dyDescent="0.35"/>
    <row r="530" s="31" customFormat="1" ht="14.25" customHeight="1" x14ac:dyDescent="0.35"/>
    <row r="531" s="31" customFormat="1" ht="14.25" customHeight="1" x14ac:dyDescent="0.35"/>
    <row r="532" s="31" customFormat="1" ht="14.25" customHeight="1" x14ac:dyDescent="0.35"/>
    <row r="533" s="31" customFormat="1" ht="14.25" customHeight="1" x14ac:dyDescent="0.35"/>
    <row r="534" s="31" customFormat="1" ht="14.25" customHeight="1" x14ac:dyDescent="0.35"/>
    <row r="535" s="31" customFormat="1" ht="14.25" customHeight="1" x14ac:dyDescent="0.35"/>
    <row r="536" s="31" customFormat="1" ht="14.25" customHeight="1" x14ac:dyDescent="0.35"/>
    <row r="537" s="31" customFormat="1" ht="14.25" customHeight="1" x14ac:dyDescent="0.35"/>
    <row r="538" s="31" customFormat="1" ht="14.25" customHeight="1" x14ac:dyDescent="0.35"/>
    <row r="539" s="31" customFormat="1" ht="14.25" customHeight="1" x14ac:dyDescent="0.35"/>
    <row r="540" s="31" customFormat="1" ht="14.25" customHeight="1" x14ac:dyDescent="0.35"/>
    <row r="541" s="31" customFormat="1" ht="14.25" customHeight="1" x14ac:dyDescent="0.35"/>
    <row r="542" s="31" customFormat="1" ht="14.25" customHeight="1" x14ac:dyDescent="0.35"/>
    <row r="543" s="31" customFormat="1" ht="14.25" customHeight="1" x14ac:dyDescent="0.35"/>
    <row r="544" s="31" customFormat="1" ht="14.25" customHeight="1" x14ac:dyDescent="0.35"/>
    <row r="545" s="31" customFormat="1" ht="14.25" customHeight="1" x14ac:dyDescent="0.35"/>
    <row r="546" s="31" customFormat="1" ht="14.25" customHeight="1" x14ac:dyDescent="0.35"/>
    <row r="547" s="31" customFormat="1" ht="14.25" customHeight="1" x14ac:dyDescent="0.35"/>
    <row r="548" s="31" customFormat="1" ht="14.25" customHeight="1" x14ac:dyDescent="0.35"/>
    <row r="549" s="31" customFormat="1" ht="14.25" customHeight="1" x14ac:dyDescent="0.35"/>
    <row r="550" s="31" customFormat="1" ht="14.25" customHeight="1" x14ac:dyDescent="0.35"/>
    <row r="551" s="31" customFormat="1" ht="14.25" customHeight="1" x14ac:dyDescent="0.35"/>
    <row r="552" s="31" customFormat="1" ht="14.25" customHeight="1" x14ac:dyDescent="0.35"/>
    <row r="553" s="31" customFormat="1" ht="14.25" customHeight="1" x14ac:dyDescent="0.35"/>
    <row r="554" s="31" customFormat="1" ht="14.25" customHeight="1" x14ac:dyDescent="0.35"/>
    <row r="555" s="31" customFormat="1" ht="14.25" customHeight="1" x14ac:dyDescent="0.35"/>
    <row r="556" s="31" customFormat="1" ht="14.25" customHeight="1" x14ac:dyDescent="0.35"/>
    <row r="557" s="31" customFormat="1" ht="14.25" customHeight="1" x14ac:dyDescent="0.35"/>
    <row r="558" s="31" customFormat="1" ht="14.25" customHeight="1" x14ac:dyDescent="0.35"/>
    <row r="559" s="31" customFormat="1" ht="14.25" customHeight="1" x14ac:dyDescent="0.35"/>
    <row r="560" s="31" customFormat="1" ht="14.25" customHeight="1" x14ac:dyDescent="0.35"/>
    <row r="561" s="31" customFormat="1" ht="14.25" customHeight="1" x14ac:dyDescent="0.35"/>
    <row r="562" s="31" customFormat="1" ht="14.25" customHeight="1" x14ac:dyDescent="0.35"/>
    <row r="563" s="31" customFormat="1" ht="14.25" customHeight="1" x14ac:dyDescent="0.35"/>
    <row r="564" s="31" customFormat="1" ht="14.25" customHeight="1" x14ac:dyDescent="0.35"/>
    <row r="565" s="31" customFormat="1" ht="14.25" customHeight="1" x14ac:dyDescent="0.35"/>
    <row r="566" s="31" customFormat="1" ht="14.25" customHeight="1" x14ac:dyDescent="0.35"/>
    <row r="567" s="31" customFormat="1" ht="14.25" customHeight="1" x14ac:dyDescent="0.35"/>
    <row r="568" s="31" customFormat="1" ht="14.25" customHeight="1" x14ac:dyDescent="0.35"/>
    <row r="569" s="31" customFormat="1" ht="14.25" customHeight="1" x14ac:dyDescent="0.35"/>
    <row r="570" s="31" customFormat="1" ht="14.25" customHeight="1" x14ac:dyDescent="0.35"/>
    <row r="571" s="31" customFormat="1" ht="14.25" customHeight="1" x14ac:dyDescent="0.35"/>
    <row r="572" s="31" customFormat="1" ht="14.25" customHeight="1" x14ac:dyDescent="0.35"/>
    <row r="573" s="31" customFormat="1" ht="14.25" customHeight="1" x14ac:dyDescent="0.35"/>
    <row r="574" s="31" customFormat="1" ht="14.25" customHeight="1" x14ac:dyDescent="0.35"/>
    <row r="575" s="31" customFormat="1" ht="14.25" customHeight="1" x14ac:dyDescent="0.35"/>
    <row r="576" s="31" customFormat="1" ht="14.25" customHeight="1" x14ac:dyDescent="0.35"/>
    <row r="577" s="31" customFormat="1" ht="14.25" customHeight="1" x14ac:dyDescent="0.35"/>
    <row r="578" s="31" customFormat="1" ht="14.25" customHeight="1" x14ac:dyDescent="0.35"/>
    <row r="579" s="31" customFormat="1" ht="14.25" customHeight="1" x14ac:dyDescent="0.35"/>
    <row r="580" s="31" customFormat="1" ht="14.25" customHeight="1" x14ac:dyDescent="0.35"/>
    <row r="581" s="31" customFormat="1" ht="14.25" customHeight="1" x14ac:dyDescent="0.35"/>
    <row r="582" s="31" customFormat="1" ht="14.25" customHeight="1" x14ac:dyDescent="0.35"/>
    <row r="583" s="31" customFormat="1" ht="14.25" customHeight="1" x14ac:dyDescent="0.35"/>
    <row r="584" s="31" customFormat="1" ht="14.25" customHeight="1" x14ac:dyDescent="0.35"/>
    <row r="585" s="31" customFormat="1" ht="14.25" customHeight="1" x14ac:dyDescent="0.35"/>
    <row r="586" s="31" customFormat="1" ht="14.25" customHeight="1" x14ac:dyDescent="0.35"/>
    <row r="587" s="31" customFormat="1" ht="14.25" customHeight="1" x14ac:dyDescent="0.35"/>
    <row r="588" s="31" customFormat="1" ht="14.25" customHeight="1" x14ac:dyDescent="0.35"/>
    <row r="589" s="31" customFormat="1" ht="14.25" customHeight="1" x14ac:dyDescent="0.35"/>
    <row r="590" s="31" customFormat="1" ht="14.25" customHeight="1" x14ac:dyDescent="0.35"/>
    <row r="591" s="31" customFormat="1" ht="14.25" customHeight="1" x14ac:dyDescent="0.35"/>
    <row r="592" s="31" customFormat="1" ht="14.25" customHeight="1" x14ac:dyDescent="0.35"/>
    <row r="593" s="31" customFormat="1" ht="14.25" customHeight="1" x14ac:dyDescent="0.35"/>
    <row r="594" s="31" customFormat="1" ht="14.25" customHeight="1" x14ac:dyDescent="0.35"/>
    <row r="595" s="31" customFormat="1" ht="14.25" customHeight="1" x14ac:dyDescent="0.35"/>
    <row r="596" s="31" customFormat="1" ht="14.25" customHeight="1" x14ac:dyDescent="0.35"/>
    <row r="597" s="31" customFormat="1" ht="14.25" customHeight="1" x14ac:dyDescent="0.35"/>
    <row r="598" s="31" customFormat="1" ht="14.25" customHeight="1" x14ac:dyDescent="0.35"/>
    <row r="599" s="31" customFormat="1" ht="14.25" customHeight="1" x14ac:dyDescent="0.35"/>
    <row r="600" s="31" customFormat="1" ht="14.25" customHeight="1" x14ac:dyDescent="0.35"/>
    <row r="601" s="31" customFormat="1" ht="14.25" customHeight="1" x14ac:dyDescent="0.35"/>
    <row r="602" s="31" customFormat="1" ht="14.25" customHeight="1" x14ac:dyDescent="0.35"/>
    <row r="603" s="31" customFormat="1" ht="14.25" customHeight="1" x14ac:dyDescent="0.35"/>
    <row r="604" s="31" customFormat="1" ht="14.25" customHeight="1" x14ac:dyDescent="0.35"/>
    <row r="605" s="31" customFormat="1" ht="14.25" customHeight="1" x14ac:dyDescent="0.35"/>
    <row r="606" s="31" customFormat="1" ht="14.25" customHeight="1" x14ac:dyDescent="0.35"/>
    <row r="607" s="31" customFormat="1" ht="14.25" customHeight="1" x14ac:dyDescent="0.35"/>
    <row r="608" s="31" customFormat="1" ht="14.25" customHeight="1" x14ac:dyDescent="0.35"/>
    <row r="609" s="31" customFormat="1" ht="14.25" customHeight="1" x14ac:dyDescent="0.35"/>
    <row r="610" s="31" customFormat="1" ht="14.25" customHeight="1" x14ac:dyDescent="0.35"/>
    <row r="611" s="31" customFormat="1" ht="14.25" customHeight="1" x14ac:dyDescent="0.35"/>
    <row r="612" s="31" customFormat="1" ht="14.25" customHeight="1" x14ac:dyDescent="0.35"/>
    <row r="613" s="31" customFormat="1" ht="14.25" customHeight="1" x14ac:dyDescent="0.35"/>
    <row r="614" s="31" customFormat="1" ht="14.25" customHeight="1" x14ac:dyDescent="0.35"/>
    <row r="615" s="31" customFormat="1" ht="14.25" customHeight="1" x14ac:dyDescent="0.35"/>
    <row r="616" s="31" customFormat="1" ht="14.25" customHeight="1" x14ac:dyDescent="0.35"/>
    <row r="617" s="31" customFormat="1" ht="14.25" customHeight="1" x14ac:dyDescent="0.35"/>
    <row r="618" s="31" customFormat="1" ht="14.25" customHeight="1" x14ac:dyDescent="0.35"/>
    <row r="619" s="31" customFormat="1" ht="14.25" customHeight="1" x14ac:dyDescent="0.35"/>
    <row r="620" s="31" customFormat="1" ht="14.25" customHeight="1" x14ac:dyDescent="0.35"/>
    <row r="621" s="31" customFormat="1" ht="14.25" customHeight="1" x14ac:dyDescent="0.35"/>
    <row r="622" s="31" customFormat="1" ht="14.25" customHeight="1" x14ac:dyDescent="0.35"/>
    <row r="623" s="31" customFormat="1" ht="14.25" customHeight="1" x14ac:dyDescent="0.35"/>
    <row r="624" s="31" customFormat="1" ht="14.25" customHeight="1" x14ac:dyDescent="0.35"/>
    <row r="625" s="31" customFormat="1" ht="14.25" customHeight="1" x14ac:dyDescent="0.35"/>
    <row r="626" s="31" customFormat="1" ht="14.25" customHeight="1" x14ac:dyDescent="0.35"/>
    <row r="627" s="31" customFormat="1" ht="14.25" customHeight="1" x14ac:dyDescent="0.35"/>
    <row r="628" s="31" customFormat="1" ht="14.25" customHeight="1" x14ac:dyDescent="0.35"/>
    <row r="629" s="31" customFormat="1" ht="14.25" customHeight="1" x14ac:dyDescent="0.35"/>
    <row r="630" s="31" customFormat="1" ht="14.25" customHeight="1" x14ac:dyDescent="0.35"/>
    <row r="631" s="31" customFormat="1" ht="14.25" customHeight="1" x14ac:dyDescent="0.35"/>
    <row r="632" s="31" customFormat="1" ht="14.25" customHeight="1" x14ac:dyDescent="0.35"/>
    <row r="633" s="31" customFormat="1" ht="14.25" customHeight="1" x14ac:dyDescent="0.35"/>
    <row r="634" s="31" customFormat="1" ht="14.25" customHeight="1" x14ac:dyDescent="0.35"/>
    <row r="635" s="31" customFormat="1" ht="14.25" customHeight="1" x14ac:dyDescent="0.35"/>
    <row r="636" s="31" customFormat="1" ht="14.25" customHeight="1" x14ac:dyDescent="0.35"/>
    <row r="637" s="31" customFormat="1" ht="14.25" customHeight="1" x14ac:dyDescent="0.35"/>
    <row r="638" s="31" customFormat="1" ht="14.25" customHeight="1" x14ac:dyDescent="0.35"/>
    <row r="639" s="31" customFormat="1" ht="14.25" customHeight="1" x14ac:dyDescent="0.35"/>
    <row r="640" s="31" customFormat="1" ht="14.25" customHeight="1" x14ac:dyDescent="0.35"/>
    <row r="641" s="31" customFormat="1" ht="14.25" customHeight="1" x14ac:dyDescent="0.35"/>
    <row r="642" s="31" customFormat="1" ht="14.25" customHeight="1" x14ac:dyDescent="0.35"/>
    <row r="643" s="31" customFormat="1" ht="14.25" customHeight="1" x14ac:dyDescent="0.35"/>
    <row r="644" s="31" customFormat="1" ht="14.25" customHeight="1" x14ac:dyDescent="0.35"/>
    <row r="645" s="31" customFormat="1" ht="14.25" customHeight="1" x14ac:dyDescent="0.35"/>
    <row r="646" s="31" customFormat="1" ht="14.25" customHeight="1" x14ac:dyDescent="0.35"/>
    <row r="647" s="31" customFormat="1" ht="14.25" customHeight="1" x14ac:dyDescent="0.35"/>
    <row r="648" s="31" customFormat="1" ht="14.25" customHeight="1" x14ac:dyDescent="0.35"/>
    <row r="649" s="31" customFormat="1" ht="14.25" customHeight="1" x14ac:dyDescent="0.35"/>
    <row r="650" s="31" customFormat="1" ht="14.25" customHeight="1" x14ac:dyDescent="0.35"/>
    <row r="651" s="31" customFormat="1" ht="14.25" customHeight="1" x14ac:dyDescent="0.35"/>
    <row r="652" s="31" customFormat="1" ht="14.25" customHeight="1" x14ac:dyDescent="0.35"/>
    <row r="653" s="31" customFormat="1" ht="14.25" customHeight="1" x14ac:dyDescent="0.35"/>
    <row r="654" s="31" customFormat="1" ht="14.25" customHeight="1" x14ac:dyDescent="0.35"/>
    <row r="655" s="31" customFormat="1" ht="14.25" customHeight="1" x14ac:dyDescent="0.35"/>
    <row r="656" s="31" customFormat="1" ht="14.25" customHeight="1" x14ac:dyDescent="0.35"/>
    <row r="657" s="31" customFormat="1" ht="14.25" customHeight="1" x14ac:dyDescent="0.35"/>
    <row r="658" s="31" customFormat="1" ht="14.25" customHeight="1" x14ac:dyDescent="0.35"/>
    <row r="659" s="31" customFormat="1" ht="14.25" customHeight="1" x14ac:dyDescent="0.35"/>
    <row r="660" s="31" customFormat="1" ht="14.25" customHeight="1" x14ac:dyDescent="0.35"/>
    <row r="661" s="31" customFormat="1" ht="14.25" customHeight="1" x14ac:dyDescent="0.35"/>
    <row r="662" s="31" customFormat="1" ht="14.25" customHeight="1" x14ac:dyDescent="0.35"/>
    <row r="663" s="31" customFormat="1" ht="14.25" customHeight="1" x14ac:dyDescent="0.35"/>
    <row r="664" s="31" customFormat="1" ht="14.25" customHeight="1" x14ac:dyDescent="0.35"/>
    <row r="665" s="31" customFormat="1" ht="14.25" customHeight="1" x14ac:dyDescent="0.35"/>
    <row r="666" s="31" customFormat="1" ht="14.25" customHeight="1" x14ac:dyDescent="0.35"/>
    <row r="667" s="31" customFormat="1" ht="14.25" customHeight="1" x14ac:dyDescent="0.35"/>
    <row r="668" s="31" customFormat="1" ht="14.25" customHeight="1" x14ac:dyDescent="0.35"/>
    <row r="669" s="31" customFormat="1" ht="14.25" customHeight="1" x14ac:dyDescent="0.35"/>
    <row r="670" s="31" customFormat="1" ht="14.25" customHeight="1" x14ac:dyDescent="0.35"/>
    <row r="671" s="31" customFormat="1" ht="14.25" customHeight="1" x14ac:dyDescent="0.35"/>
    <row r="672" s="31" customFormat="1" ht="14.25" customHeight="1" x14ac:dyDescent="0.35"/>
    <row r="673" s="31" customFormat="1" ht="14.25" customHeight="1" x14ac:dyDescent="0.35"/>
    <row r="674" s="31" customFormat="1" ht="14.25" customHeight="1" x14ac:dyDescent="0.35"/>
    <row r="675" s="31" customFormat="1" ht="14.25" customHeight="1" x14ac:dyDescent="0.35"/>
    <row r="676" s="31" customFormat="1" ht="14.25" customHeight="1" x14ac:dyDescent="0.35"/>
    <row r="677" s="31" customFormat="1" ht="14.25" customHeight="1" x14ac:dyDescent="0.35"/>
    <row r="678" s="31" customFormat="1" ht="14.25" customHeight="1" x14ac:dyDescent="0.35"/>
    <row r="679" s="31" customFormat="1" ht="14.25" customHeight="1" x14ac:dyDescent="0.35"/>
    <row r="680" s="31" customFormat="1" ht="14.25" customHeight="1" x14ac:dyDescent="0.35"/>
    <row r="681" s="31" customFormat="1" ht="14.25" customHeight="1" x14ac:dyDescent="0.35"/>
    <row r="682" s="31" customFormat="1" ht="14.25" customHeight="1" x14ac:dyDescent="0.35"/>
    <row r="683" s="31" customFormat="1" ht="14.25" customHeight="1" x14ac:dyDescent="0.35"/>
    <row r="684" s="31" customFormat="1" ht="14.25" customHeight="1" x14ac:dyDescent="0.35"/>
    <row r="685" s="31" customFormat="1" ht="14.25" customHeight="1" x14ac:dyDescent="0.35"/>
    <row r="686" s="31" customFormat="1" ht="14.25" customHeight="1" x14ac:dyDescent="0.35"/>
    <row r="687" s="31" customFormat="1" ht="14.25" customHeight="1" x14ac:dyDescent="0.35"/>
    <row r="688" s="31" customFormat="1" ht="14.25" customHeight="1" x14ac:dyDescent="0.35"/>
    <row r="689" s="31" customFormat="1" ht="14.25" customHeight="1" x14ac:dyDescent="0.35"/>
    <row r="690" s="31" customFormat="1" ht="14.25" customHeight="1" x14ac:dyDescent="0.35"/>
    <row r="691" s="31" customFormat="1" ht="14.25" customHeight="1" x14ac:dyDescent="0.35"/>
    <row r="692" s="31" customFormat="1" ht="14.25" customHeight="1" x14ac:dyDescent="0.35"/>
    <row r="693" s="31" customFormat="1" ht="14.25" customHeight="1" x14ac:dyDescent="0.35"/>
    <row r="694" s="31" customFormat="1" ht="14.25" customHeight="1" x14ac:dyDescent="0.35"/>
    <row r="695" s="31" customFormat="1" ht="14.25" customHeight="1" x14ac:dyDescent="0.35"/>
    <row r="696" s="31" customFormat="1" ht="14.25" customHeight="1" x14ac:dyDescent="0.35"/>
    <row r="697" s="31" customFormat="1" ht="14.25" customHeight="1" x14ac:dyDescent="0.35"/>
    <row r="698" s="31" customFormat="1" ht="14.25" customHeight="1" x14ac:dyDescent="0.35"/>
    <row r="699" s="31" customFormat="1" ht="14.25" customHeight="1" x14ac:dyDescent="0.35"/>
    <row r="700" s="31" customFormat="1" ht="14.25" customHeight="1" x14ac:dyDescent="0.35"/>
    <row r="701" s="31" customFormat="1" ht="14.25" customHeight="1" x14ac:dyDescent="0.35"/>
    <row r="702" s="31" customFormat="1" ht="14.25" customHeight="1" x14ac:dyDescent="0.35"/>
    <row r="703" s="31" customFormat="1" ht="14.25" customHeight="1" x14ac:dyDescent="0.35"/>
    <row r="704" s="31" customFormat="1" ht="14.25" customHeight="1" x14ac:dyDescent="0.35"/>
    <row r="705" s="31" customFormat="1" ht="14.25" customHeight="1" x14ac:dyDescent="0.35"/>
    <row r="706" s="31" customFormat="1" ht="14.25" customHeight="1" x14ac:dyDescent="0.35"/>
    <row r="707" s="31" customFormat="1" ht="14.25" customHeight="1" x14ac:dyDescent="0.35"/>
    <row r="708" s="31" customFormat="1" ht="14.25" customHeight="1" x14ac:dyDescent="0.35"/>
    <row r="709" s="31" customFormat="1" ht="14.25" customHeight="1" x14ac:dyDescent="0.35"/>
    <row r="710" s="31" customFormat="1" ht="14.25" customHeight="1" x14ac:dyDescent="0.35"/>
    <row r="711" s="31" customFormat="1" ht="14.25" customHeight="1" x14ac:dyDescent="0.35"/>
    <row r="712" s="31" customFormat="1" ht="14.25" customHeight="1" x14ac:dyDescent="0.35"/>
    <row r="713" s="31" customFormat="1" ht="14.25" customHeight="1" x14ac:dyDescent="0.35"/>
    <row r="714" s="31" customFormat="1" ht="14.25" customHeight="1" x14ac:dyDescent="0.35"/>
    <row r="715" s="31" customFormat="1" ht="14.25" customHeight="1" x14ac:dyDescent="0.35"/>
    <row r="716" s="31" customFormat="1" ht="14.25" customHeight="1" x14ac:dyDescent="0.35"/>
    <row r="717" s="31" customFormat="1" ht="14.25" customHeight="1" x14ac:dyDescent="0.35"/>
    <row r="718" s="31" customFormat="1" ht="14.25" customHeight="1" x14ac:dyDescent="0.35"/>
    <row r="719" s="31" customFormat="1" ht="14.25" customHeight="1" x14ac:dyDescent="0.35"/>
    <row r="720" s="31" customFormat="1" ht="14.25" customHeight="1" x14ac:dyDescent="0.35"/>
    <row r="721" s="31" customFormat="1" ht="14.25" customHeight="1" x14ac:dyDescent="0.35"/>
    <row r="722" s="31" customFormat="1" ht="14.25" customHeight="1" x14ac:dyDescent="0.35"/>
    <row r="723" s="31" customFormat="1" ht="14.25" customHeight="1" x14ac:dyDescent="0.35"/>
    <row r="724" s="31" customFormat="1" ht="14.25" customHeight="1" x14ac:dyDescent="0.35"/>
    <row r="725" s="31" customFormat="1" ht="14.25" customHeight="1" x14ac:dyDescent="0.35"/>
    <row r="726" s="31" customFormat="1" ht="14.25" customHeight="1" x14ac:dyDescent="0.35"/>
    <row r="727" s="31" customFormat="1" ht="14.25" customHeight="1" x14ac:dyDescent="0.35"/>
    <row r="728" s="31" customFormat="1" ht="14.25" customHeight="1" x14ac:dyDescent="0.35"/>
    <row r="729" s="31" customFormat="1" ht="14.25" customHeight="1" x14ac:dyDescent="0.35"/>
    <row r="730" s="31" customFormat="1" ht="14.25" customHeight="1" x14ac:dyDescent="0.35"/>
    <row r="731" s="31" customFormat="1" ht="14.25" customHeight="1" x14ac:dyDescent="0.35"/>
    <row r="732" s="31" customFormat="1" ht="14.25" customHeight="1" x14ac:dyDescent="0.35"/>
    <row r="733" s="31" customFormat="1" ht="14.25" customHeight="1" x14ac:dyDescent="0.35"/>
    <row r="734" s="31" customFormat="1" ht="14.25" customHeight="1" x14ac:dyDescent="0.35"/>
    <row r="735" s="31" customFormat="1" ht="14.25" customHeight="1" x14ac:dyDescent="0.35"/>
    <row r="736" s="31" customFormat="1" ht="14.25" customHeight="1" x14ac:dyDescent="0.35"/>
    <row r="737" s="31" customFormat="1" ht="14.25" customHeight="1" x14ac:dyDescent="0.35"/>
    <row r="738" s="31" customFormat="1" ht="14.25" customHeight="1" x14ac:dyDescent="0.35"/>
    <row r="739" s="31" customFormat="1" ht="14.25" customHeight="1" x14ac:dyDescent="0.35"/>
    <row r="740" s="31" customFormat="1" ht="14.25" customHeight="1" x14ac:dyDescent="0.35"/>
    <row r="741" s="31" customFormat="1" ht="14.25" customHeight="1" x14ac:dyDescent="0.35"/>
    <row r="742" s="31" customFormat="1" ht="14.25" customHeight="1" x14ac:dyDescent="0.35"/>
    <row r="743" s="31" customFormat="1" ht="14.25" customHeight="1" x14ac:dyDescent="0.35"/>
    <row r="744" s="31" customFormat="1" ht="14.25" customHeight="1" x14ac:dyDescent="0.35"/>
    <row r="745" s="31" customFormat="1" ht="14.25" customHeight="1" x14ac:dyDescent="0.35"/>
    <row r="746" s="31" customFormat="1" ht="14.25" customHeight="1" x14ac:dyDescent="0.35"/>
    <row r="747" s="31" customFormat="1" ht="14.25" customHeight="1" x14ac:dyDescent="0.35"/>
    <row r="748" s="31" customFormat="1" ht="14.25" customHeight="1" x14ac:dyDescent="0.35"/>
    <row r="749" s="31" customFormat="1" ht="14.25" customHeight="1" x14ac:dyDescent="0.35"/>
    <row r="750" s="31" customFormat="1" ht="14.25" customHeight="1" x14ac:dyDescent="0.35"/>
    <row r="751" s="31" customFormat="1" ht="14.25" customHeight="1" x14ac:dyDescent="0.35"/>
    <row r="752" s="31" customFormat="1" ht="14.25" customHeight="1" x14ac:dyDescent="0.35"/>
    <row r="753" s="31" customFormat="1" ht="14.25" customHeight="1" x14ac:dyDescent="0.35"/>
    <row r="754" s="31" customFormat="1" ht="14.25" customHeight="1" x14ac:dyDescent="0.35"/>
    <row r="755" s="31" customFormat="1" ht="14.25" customHeight="1" x14ac:dyDescent="0.35"/>
    <row r="756" s="31" customFormat="1" ht="14.25" customHeight="1" x14ac:dyDescent="0.35"/>
    <row r="757" s="31" customFormat="1" ht="14.25" customHeight="1" x14ac:dyDescent="0.35"/>
    <row r="758" s="31" customFormat="1" ht="14.25" customHeight="1" x14ac:dyDescent="0.35"/>
    <row r="759" s="31" customFormat="1" ht="14.25" customHeight="1" x14ac:dyDescent="0.35"/>
    <row r="760" s="31" customFormat="1" ht="14.25" customHeight="1" x14ac:dyDescent="0.35"/>
    <row r="761" s="31" customFormat="1" ht="14.25" customHeight="1" x14ac:dyDescent="0.35"/>
    <row r="762" s="31" customFormat="1" ht="14.25" customHeight="1" x14ac:dyDescent="0.35"/>
    <row r="763" s="31" customFormat="1" ht="14.25" customHeight="1" x14ac:dyDescent="0.35"/>
    <row r="764" s="31" customFormat="1" ht="14.25" customHeight="1" x14ac:dyDescent="0.35"/>
    <row r="765" s="31" customFormat="1" ht="14.25" customHeight="1" x14ac:dyDescent="0.35"/>
    <row r="766" s="31" customFormat="1" ht="14.25" customHeight="1" x14ac:dyDescent="0.35"/>
    <row r="767" s="31" customFormat="1" ht="14.25" customHeight="1" x14ac:dyDescent="0.35"/>
    <row r="768" s="31" customFormat="1" ht="14.25" customHeight="1" x14ac:dyDescent="0.35"/>
    <row r="769" s="31" customFormat="1" ht="14.25" customHeight="1" x14ac:dyDescent="0.35"/>
    <row r="770" s="31" customFormat="1" ht="14.25" customHeight="1" x14ac:dyDescent="0.35"/>
    <row r="771" s="31" customFormat="1" ht="14.25" customHeight="1" x14ac:dyDescent="0.35"/>
    <row r="772" s="31" customFormat="1" ht="14.25" customHeight="1" x14ac:dyDescent="0.35"/>
    <row r="773" s="31" customFormat="1" ht="14.25" customHeight="1" x14ac:dyDescent="0.35"/>
    <row r="774" s="31" customFormat="1" ht="14.25" customHeight="1" x14ac:dyDescent="0.35"/>
    <row r="775" s="31" customFormat="1" ht="14.25" customHeight="1" x14ac:dyDescent="0.35"/>
    <row r="776" s="31" customFormat="1" ht="14.25" customHeight="1" x14ac:dyDescent="0.35"/>
    <row r="777" s="31" customFormat="1" ht="14.25" customHeight="1" x14ac:dyDescent="0.35"/>
    <row r="778" s="31" customFormat="1" ht="14.25" customHeight="1" x14ac:dyDescent="0.35"/>
    <row r="779" s="31" customFormat="1" ht="14.25" customHeight="1" x14ac:dyDescent="0.35"/>
    <row r="780" s="31" customFormat="1" ht="14.25" customHeight="1" x14ac:dyDescent="0.35"/>
    <row r="781" s="31" customFormat="1" ht="14.25" customHeight="1" x14ac:dyDescent="0.35"/>
    <row r="782" s="31" customFormat="1" ht="14.25" customHeight="1" x14ac:dyDescent="0.35"/>
    <row r="783" s="31" customFormat="1" ht="14.25" customHeight="1" x14ac:dyDescent="0.35"/>
    <row r="784" s="31" customFormat="1" ht="14.25" customHeight="1" x14ac:dyDescent="0.35"/>
    <row r="785" s="31" customFormat="1" ht="14.25" customHeight="1" x14ac:dyDescent="0.35"/>
    <row r="786" s="31" customFormat="1" ht="14.25" customHeight="1" x14ac:dyDescent="0.35"/>
    <row r="787" s="31" customFormat="1" ht="14.25" customHeight="1" x14ac:dyDescent="0.35"/>
    <row r="788" s="31" customFormat="1" ht="14.25" customHeight="1" x14ac:dyDescent="0.35"/>
    <row r="789" s="31" customFormat="1" ht="14.25" customHeight="1" x14ac:dyDescent="0.35"/>
    <row r="790" s="31" customFormat="1" ht="14.25" customHeight="1" x14ac:dyDescent="0.35"/>
    <row r="791" s="31" customFormat="1" ht="14.25" customHeight="1" x14ac:dyDescent="0.35"/>
    <row r="792" s="31" customFormat="1" ht="14.25" customHeight="1" x14ac:dyDescent="0.35"/>
    <row r="793" s="31" customFormat="1" ht="14.25" customHeight="1" x14ac:dyDescent="0.35"/>
    <row r="794" s="31" customFormat="1" ht="14.25" customHeight="1" x14ac:dyDescent="0.35"/>
    <row r="795" s="31" customFormat="1" ht="14.25" customHeight="1" x14ac:dyDescent="0.35"/>
    <row r="796" s="31" customFormat="1" ht="14.25" customHeight="1" x14ac:dyDescent="0.35"/>
    <row r="797" s="31" customFormat="1" ht="14.25" customHeight="1" x14ac:dyDescent="0.35"/>
    <row r="798" s="31" customFormat="1" ht="14.25" customHeight="1" x14ac:dyDescent="0.35"/>
    <row r="799" s="31" customFormat="1" ht="14.25" customHeight="1" x14ac:dyDescent="0.35"/>
    <row r="800" s="31" customFormat="1" ht="14.25" customHeight="1" x14ac:dyDescent="0.35"/>
    <row r="801" s="31" customFormat="1" ht="14.25" customHeight="1" x14ac:dyDescent="0.35"/>
    <row r="802" s="31" customFormat="1" ht="14.25" customHeight="1" x14ac:dyDescent="0.35"/>
    <row r="803" s="31" customFormat="1" ht="14.25" customHeight="1" x14ac:dyDescent="0.35"/>
    <row r="804" s="31" customFormat="1" ht="14.25" customHeight="1" x14ac:dyDescent="0.35"/>
    <row r="805" s="31" customFormat="1" ht="14.25" customHeight="1" x14ac:dyDescent="0.35"/>
    <row r="806" s="31" customFormat="1" ht="14.25" customHeight="1" x14ac:dyDescent="0.35"/>
    <row r="807" s="31" customFormat="1" ht="14.25" customHeight="1" x14ac:dyDescent="0.35"/>
    <row r="808" s="31" customFormat="1" ht="14.25" customHeight="1" x14ac:dyDescent="0.35"/>
    <row r="809" s="31" customFormat="1" ht="14.25" customHeight="1" x14ac:dyDescent="0.35"/>
    <row r="810" s="31" customFormat="1" ht="14.25" customHeight="1" x14ac:dyDescent="0.35"/>
    <row r="811" s="31" customFormat="1" ht="14.25" customHeight="1" x14ac:dyDescent="0.35"/>
    <row r="812" s="31" customFormat="1" ht="14.25" customHeight="1" x14ac:dyDescent="0.35"/>
    <row r="813" s="31" customFormat="1" ht="14.25" customHeight="1" x14ac:dyDescent="0.35"/>
    <row r="814" s="31" customFormat="1" ht="14.25" customHeight="1" x14ac:dyDescent="0.35"/>
    <row r="815" s="31" customFormat="1" ht="14.25" customHeight="1" x14ac:dyDescent="0.35"/>
    <row r="816" s="31" customFormat="1" ht="14.25" customHeight="1" x14ac:dyDescent="0.35"/>
    <row r="817" s="31" customFormat="1" ht="14.25" customHeight="1" x14ac:dyDescent="0.35"/>
    <row r="818" s="31" customFormat="1" ht="14.25" customHeight="1" x14ac:dyDescent="0.35"/>
    <row r="819" s="31" customFormat="1" ht="14.25" customHeight="1" x14ac:dyDescent="0.35"/>
    <row r="820" s="31" customFormat="1" ht="14.25" customHeight="1" x14ac:dyDescent="0.35"/>
    <row r="821" s="31" customFormat="1" ht="14.25" customHeight="1" x14ac:dyDescent="0.35"/>
    <row r="822" s="31" customFormat="1" ht="14.25" customHeight="1" x14ac:dyDescent="0.35"/>
    <row r="823" s="31" customFormat="1" ht="14.25" customHeight="1" x14ac:dyDescent="0.35"/>
    <row r="824" s="31" customFormat="1" ht="14.25" customHeight="1" x14ac:dyDescent="0.35"/>
    <row r="825" s="31" customFormat="1" ht="14.25" customHeight="1" x14ac:dyDescent="0.35"/>
    <row r="826" s="31" customFormat="1" ht="14.25" customHeight="1" x14ac:dyDescent="0.35"/>
    <row r="827" s="31" customFormat="1" ht="14.25" customHeight="1" x14ac:dyDescent="0.35"/>
    <row r="828" s="31" customFormat="1" ht="14.25" customHeight="1" x14ac:dyDescent="0.35"/>
    <row r="829" s="31" customFormat="1" ht="14.25" customHeight="1" x14ac:dyDescent="0.35"/>
    <row r="830" s="31" customFormat="1" ht="14.25" customHeight="1" x14ac:dyDescent="0.35"/>
    <row r="831" s="31" customFormat="1" ht="14.25" customHeight="1" x14ac:dyDescent="0.35"/>
    <row r="832" s="31" customFormat="1" ht="14.25" customHeight="1" x14ac:dyDescent="0.35"/>
    <row r="833" s="31" customFormat="1" ht="14.25" customHeight="1" x14ac:dyDescent="0.35"/>
    <row r="834" s="31" customFormat="1" ht="14.25" customHeight="1" x14ac:dyDescent="0.35"/>
    <row r="835" s="31" customFormat="1" ht="14.25" customHeight="1" x14ac:dyDescent="0.35"/>
    <row r="836" s="31" customFormat="1" ht="14.25" customHeight="1" x14ac:dyDescent="0.35"/>
    <row r="837" s="31" customFormat="1" ht="14.25" customHeight="1" x14ac:dyDescent="0.35"/>
    <row r="838" s="31" customFormat="1" ht="14.25" customHeight="1" x14ac:dyDescent="0.35"/>
    <row r="839" s="31" customFormat="1" ht="14.25" customHeight="1" x14ac:dyDescent="0.35"/>
    <row r="840" s="31" customFormat="1" ht="14.25" customHeight="1" x14ac:dyDescent="0.35"/>
    <row r="841" s="31" customFormat="1" ht="14.25" customHeight="1" x14ac:dyDescent="0.35"/>
    <row r="842" s="31" customFormat="1" ht="14.25" customHeight="1" x14ac:dyDescent="0.35"/>
    <row r="843" s="31" customFormat="1" ht="14.25" customHeight="1" x14ac:dyDescent="0.35"/>
    <row r="844" s="31" customFormat="1" ht="14.25" customHeight="1" x14ac:dyDescent="0.35"/>
    <row r="845" s="31" customFormat="1" ht="14.25" customHeight="1" x14ac:dyDescent="0.35"/>
    <row r="846" s="31" customFormat="1" ht="14.25" customHeight="1" x14ac:dyDescent="0.35"/>
    <row r="847" s="31" customFormat="1" ht="14.25" customHeight="1" x14ac:dyDescent="0.35"/>
    <row r="848" s="31" customFormat="1" ht="14.25" customHeight="1" x14ac:dyDescent="0.35"/>
    <row r="849" s="31" customFormat="1" ht="14.25" customHeight="1" x14ac:dyDescent="0.35"/>
    <row r="850" s="31" customFormat="1" ht="14.25" customHeight="1" x14ac:dyDescent="0.35"/>
    <row r="851" s="31" customFormat="1" ht="14.25" customHeight="1" x14ac:dyDescent="0.35"/>
    <row r="852" s="31" customFormat="1" ht="14.25" customHeight="1" x14ac:dyDescent="0.35"/>
    <row r="853" s="31" customFormat="1" ht="14.25" customHeight="1" x14ac:dyDescent="0.35"/>
    <row r="854" s="31" customFormat="1" ht="14.25" customHeight="1" x14ac:dyDescent="0.35"/>
    <row r="855" s="31" customFormat="1" ht="14.25" customHeight="1" x14ac:dyDescent="0.35"/>
    <row r="856" s="31" customFormat="1" ht="14.25" customHeight="1" x14ac:dyDescent="0.35"/>
    <row r="857" s="31" customFormat="1" ht="14.25" customHeight="1" x14ac:dyDescent="0.35"/>
    <row r="858" s="31" customFormat="1" ht="14.25" customHeight="1" x14ac:dyDescent="0.35"/>
    <row r="859" s="31" customFormat="1" ht="14.25" customHeight="1" x14ac:dyDescent="0.35"/>
    <row r="860" s="31" customFormat="1" ht="14.25" customHeight="1" x14ac:dyDescent="0.35"/>
    <row r="861" s="31" customFormat="1" ht="14.25" customHeight="1" x14ac:dyDescent="0.35"/>
    <row r="862" s="31" customFormat="1" ht="14.25" customHeight="1" x14ac:dyDescent="0.35"/>
    <row r="863" s="31" customFormat="1" ht="14.25" customHeight="1" x14ac:dyDescent="0.35"/>
    <row r="864" s="31" customFormat="1" ht="14.25" customHeight="1" x14ac:dyDescent="0.35"/>
    <row r="865" s="31" customFormat="1" ht="14.25" customHeight="1" x14ac:dyDescent="0.35"/>
    <row r="866" s="31" customFormat="1" ht="14.25" customHeight="1" x14ac:dyDescent="0.35"/>
    <row r="867" s="31" customFormat="1" ht="14.25" customHeight="1" x14ac:dyDescent="0.35"/>
    <row r="868" s="31" customFormat="1" ht="14.25" customHeight="1" x14ac:dyDescent="0.35"/>
    <row r="869" s="31" customFormat="1" ht="14.25" customHeight="1" x14ac:dyDescent="0.35"/>
    <row r="870" s="31" customFormat="1" ht="14.25" customHeight="1" x14ac:dyDescent="0.35"/>
    <row r="871" s="31" customFormat="1" ht="14.25" customHeight="1" x14ac:dyDescent="0.35"/>
    <row r="872" s="31" customFormat="1" ht="14.25" customHeight="1" x14ac:dyDescent="0.35"/>
    <row r="873" s="31" customFormat="1" ht="14.25" customHeight="1" x14ac:dyDescent="0.35"/>
    <row r="874" s="31" customFormat="1" ht="14.25" customHeight="1" x14ac:dyDescent="0.35"/>
    <row r="875" s="31" customFormat="1" ht="14.25" customHeight="1" x14ac:dyDescent="0.35"/>
    <row r="876" s="31" customFormat="1" ht="14.25" customHeight="1" x14ac:dyDescent="0.35"/>
    <row r="877" s="31" customFormat="1" ht="14.25" customHeight="1" x14ac:dyDescent="0.35"/>
    <row r="878" s="31" customFormat="1" ht="14.25" customHeight="1" x14ac:dyDescent="0.35"/>
    <row r="879" s="31" customFormat="1" ht="14.25" customHeight="1" x14ac:dyDescent="0.35"/>
    <row r="880" s="31" customFormat="1" ht="14.25" customHeight="1" x14ac:dyDescent="0.35"/>
    <row r="881" s="31" customFormat="1" ht="14.25" customHeight="1" x14ac:dyDescent="0.35"/>
    <row r="882" s="31" customFormat="1" ht="14.25" customHeight="1" x14ac:dyDescent="0.35"/>
    <row r="883" s="31" customFormat="1" ht="14.25" customHeight="1" x14ac:dyDescent="0.35"/>
    <row r="884" s="31" customFormat="1" ht="14.25" customHeight="1" x14ac:dyDescent="0.35"/>
    <row r="885" s="31" customFormat="1" ht="14.25" customHeight="1" x14ac:dyDescent="0.35"/>
    <row r="886" s="31" customFormat="1" ht="14.25" customHeight="1" x14ac:dyDescent="0.35"/>
    <row r="887" s="31" customFormat="1" ht="14.25" customHeight="1" x14ac:dyDescent="0.35"/>
    <row r="888" s="31" customFormat="1" ht="14.25" customHeight="1" x14ac:dyDescent="0.35"/>
    <row r="889" s="31" customFormat="1" ht="14.25" customHeight="1" x14ac:dyDescent="0.35"/>
    <row r="890" s="31" customFormat="1" ht="14.25" customHeight="1" x14ac:dyDescent="0.35"/>
    <row r="891" s="31" customFormat="1" ht="14.25" customHeight="1" x14ac:dyDescent="0.35"/>
    <row r="892" s="31" customFormat="1" ht="14.25" customHeight="1" x14ac:dyDescent="0.35"/>
    <row r="893" s="31" customFormat="1" ht="14.25" customHeight="1" x14ac:dyDescent="0.35"/>
    <row r="894" s="31" customFormat="1" ht="14.25" customHeight="1" x14ac:dyDescent="0.35"/>
    <row r="895" s="31" customFormat="1" ht="14.25" customHeight="1" x14ac:dyDescent="0.35"/>
    <row r="896" s="31" customFormat="1" ht="14.25" customHeight="1" x14ac:dyDescent="0.35"/>
    <row r="897" s="31" customFormat="1" ht="14.25" customHeight="1" x14ac:dyDescent="0.35"/>
    <row r="898" s="31" customFormat="1" ht="14.25" customHeight="1" x14ac:dyDescent="0.35"/>
    <row r="899" s="31" customFormat="1" ht="14.25" customHeight="1" x14ac:dyDescent="0.35"/>
    <row r="900" s="31" customFormat="1" ht="14.25" customHeight="1" x14ac:dyDescent="0.35"/>
    <row r="901" s="31" customFormat="1" ht="14.25" customHeight="1" x14ac:dyDescent="0.35"/>
    <row r="902" s="31" customFormat="1" ht="14.25" customHeight="1" x14ac:dyDescent="0.35"/>
    <row r="903" s="31" customFormat="1" ht="14.25" customHeight="1" x14ac:dyDescent="0.35"/>
    <row r="904" s="31" customFormat="1" ht="14.25" customHeight="1" x14ac:dyDescent="0.35"/>
    <row r="905" s="31" customFormat="1" ht="14.25" customHeight="1" x14ac:dyDescent="0.35"/>
    <row r="906" s="31" customFormat="1" ht="14.25" customHeight="1" x14ac:dyDescent="0.35"/>
    <row r="907" s="31" customFormat="1" ht="14.25" customHeight="1" x14ac:dyDescent="0.35"/>
    <row r="908" s="31" customFormat="1" ht="14.25" customHeight="1" x14ac:dyDescent="0.35"/>
    <row r="909" s="31" customFormat="1" ht="14.25" customHeight="1" x14ac:dyDescent="0.35"/>
    <row r="910" s="31" customFormat="1" ht="14.25" customHeight="1" x14ac:dyDescent="0.35"/>
    <row r="911" s="31" customFormat="1" ht="14.25" customHeight="1" x14ac:dyDescent="0.35"/>
    <row r="912" s="31" customFormat="1" ht="14.25" customHeight="1" x14ac:dyDescent="0.35"/>
    <row r="913" s="31" customFormat="1" ht="14.25" customHeight="1" x14ac:dyDescent="0.35"/>
    <row r="914" s="31" customFormat="1" ht="14.25" customHeight="1" x14ac:dyDescent="0.35"/>
    <row r="915" s="31" customFormat="1" ht="14.25" customHeight="1" x14ac:dyDescent="0.35"/>
    <row r="916" s="31" customFormat="1" ht="14.25" customHeight="1" x14ac:dyDescent="0.35"/>
    <row r="917" s="31" customFormat="1" ht="14.25" customHeight="1" x14ac:dyDescent="0.35"/>
    <row r="918" s="31" customFormat="1" ht="14.25" customHeight="1" x14ac:dyDescent="0.35"/>
    <row r="919" s="31" customFormat="1" ht="14.25" customHeight="1" x14ac:dyDescent="0.35"/>
    <row r="920" s="31" customFormat="1" ht="14.25" customHeight="1" x14ac:dyDescent="0.35"/>
    <row r="921" s="31" customFormat="1" ht="14.25" customHeight="1" x14ac:dyDescent="0.35"/>
    <row r="922" s="31" customFormat="1" ht="14.25" customHeight="1" x14ac:dyDescent="0.35"/>
    <row r="923" s="31" customFormat="1" ht="14.25" customHeight="1" x14ac:dyDescent="0.35"/>
    <row r="924" s="31" customFormat="1" ht="14.25" customHeight="1" x14ac:dyDescent="0.35"/>
    <row r="925" s="31" customFormat="1" ht="14.25" customHeight="1" x14ac:dyDescent="0.35"/>
    <row r="926" s="31" customFormat="1" ht="14.25" customHeight="1" x14ac:dyDescent="0.35"/>
    <row r="927" s="31" customFormat="1" ht="14.25" customHeight="1" x14ac:dyDescent="0.35"/>
    <row r="928" s="31" customFormat="1" ht="14.25" customHeight="1" x14ac:dyDescent="0.35"/>
    <row r="929" s="31" customFormat="1" ht="14.25" customHeight="1" x14ac:dyDescent="0.35"/>
    <row r="930" s="31" customFormat="1" ht="14.25" customHeight="1" x14ac:dyDescent="0.35"/>
    <row r="931" s="31" customFormat="1" ht="14.25" customHeight="1" x14ac:dyDescent="0.35"/>
    <row r="932" s="31" customFormat="1" ht="14.25" customHeight="1" x14ac:dyDescent="0.35"/>
    <row r="933" s="31" customFormat="1" ht="14.25" customHeight="1" x14ac:dyDescent="0.35"/>
    <row r="934" s="31" customFormat="1" ht="14.25" customHeight="1" x14ac:dyDescent="0.35"/>
    <row r="935" s="31" customFormat="1" ht="14.25" customHeight="1" x14ac:dyDescent="0.35"/>
    <row r="936" s="31" customFormat="1" ht="14.25" customHeight="1" x14ac:dyDescent="0.35"/>
    <row r="937" s="31" customFormat="1" ht="14.25" customHeight="1" x14ac:dyDescent="0.35"/>
    <row r="938" s="31" customFormat="1" ht="14.25" customHeight="1" x14ac:dyDescent="0.35"/>
    <row r="939" s="31" customFormat="1" ht="14.25" customHeight="1" x14ac:dyDescent="0.35"/>
    <row r="940" s="31" customFormat="1" ht="14.25" customHeight="1" x14ac:dyDescent="0.35"/>
    <row r="941" s="31" customFormat="1" ht="14.25" customHeight="1" x14ac:dyDescent="0.35"/>
    <row r="942" s="31" customFormat="1" ht="14.25" customHeight="1" x14ac:dyDescent="0.35"/>
    <row r="943" s="31" customFormat="1" ht="14.25" customHeight="1" x14ac:dyDescent="0.35"/>
    <row r="944" s="31" customFormat="1" ht="14.25" customHeight="1" x14ac:dyDescent="0.35"/>
    <row r="945" s="31" customFormat="1" ht="14.25" customHeight="1" x14ac:dyDescent="0.35"/>
    <row r="946" s="31" customFormat="1" ht="14.25" customHeight="1" x14ac:dyDescent="0.35"/>
    <row r="947" s="31" customFormat="1" ht="14.25" customHeight="1" x14ac:dyDescent="0.35"/>
    <row r="948" s="31" customFormat="1" ht="14.25" customHeight="1" x14ac:dyDescent="0.35"/>
    <row r="949" s="31" customFormat="1" ht="14.25" customHeight="1" x14ac:dyDescent="0.35"/>
    <row r="950" s="31" customFormat="1" ht="14.25" customHeight="1" x14ac:dyDescent="0.35"/>
    <row r="951" s="31" customFormat="1" ht="14.25" customHeight="1" x14ac:dyDescent="0.35"/>
    <row r="952" s="31" customFormat="1" ht="14.25" customHeight="1" x14ac:dyDescent="0.35"/>
    <row r="953" s="31" customFormat="1" ht="14.25" customHeight="1" x14ac:dyDescent="0.35"/>
    <row r="954" s="31" customFormat="1" ht="14.25" customHeight="1" x14ac:dyDescent="0.35"/>
    <row r="955" s="31" customFormat="1" ht="14.25" customHeight="1" x14ac:dyDescent="0.35"/>
    <row r="956" s="31" customFormat="1" ht="14.25" customHeight="1" x14ac:dyDescent="0.35"/>
    <row r="957" s="31" customFormat="1" ht="14.25" customHeight="1" x14ac:dyDescent="0.35"/>
    <row r="958" s="31" customFormat="1" ht="14.25" customHeight="1" x14ac:dyDescent="0.35"/>
    <row r="959" s="31" customFormat="1" ht="14.25" customHeight="1" x14ac:dyDescent="0.35"/>
    <row r="960" s="31" customFormat="1" ht="14.25" customHeight="1" x14ac:dyDescent="0.35"/>
    <row r="961" s="31" customFormat="1" ht="14.25" customHeight="1" x14ac:dyDescent="0.35"/>
    <row r="962" s="31" customFormat="1" ht="14.25" customHeight="1" x14ac:dyDescent="0.35"/>
    <row r="963" s="31" customFormat="1" ht="14.25" customHeight="1" x14ac:dyDescent="0.35"/>
    <row r="964" s="31" customFormat="1" ht="14.25" customHeight="1" x14ac:dyDescent="0.35"/>
    <row r="965" s="31" customFormat="1" ht="14.25" customHeight="1" x14ac:dyDescent="0.35"/>
    <row r="966" s="31" customFormat="1" ht="14.25" customHeight="1" x14ac:dyDescent="0.35"/>
    <row r="967" s="31" customFormat="1" ht="14.25" customHeight="1" x14ac:dyDescent="0.35"/>
    <row r="968" s="31" customFormat="1" ht="14.25" customHeight="1" x14ac:dyDescent="0.35"/>
    <row r="969" s="31" customFormat="1" ht="14.25" customHeight="1" x14ac:dyDescent="0.35"/>
    <row r="970" s="31" customFormat="1" ht="14.25" customHeight="1" x14ac:dyDescent="0.35"/>
    <row r="971" s="31" customFormat="1" ht="14.25" customHeight="1" x14ac:dyDescent="0.35"/>
    <row r="972" s="31" customFormat="1" ht="14.25" customHeight="1" x14ac:dyDescent="0.35"/>
    <row r="973" s="31" customFormat="1" ht="14.25" customHeight="1" x14ac:dyDescent="0.35"/>
    <row r="974" s="31" customFormat="1" ht="14.25" customHeight="1" x14ac:dyDescent="0.35"/>
    <row r="975" s="31" customFormat="1" ht="14.25" customHeight="1" x14ac:dyDescent="0.35"/>
    <row r="976" s="31" customFormat="1" ht="14.25" customHeight="1" x14ac:dyDescent="0.35"/>
    <row r="977" s="31" customFormat="1" ht="14.25" customHeight="1" x14ac:dyDescent="0.35"/>
    <row r="978" s="31" customFormat="1" ht="14.25" customHeight="1" x14ac:dyDescent="0.35"/>
    <row r="979" s="31" customFormat="1" ht="14.25" customHeight="1" x14ac:dyDescent="0.35"/>
    <row r="980" s="31" customFormat="1" ht="14.25" customHeight="1" x14ac:dyDescent="0.35"/>
    <row r="981" s="31" customFormat="1" ht="14.25" customHeight="1" x14ac:dyDescent="0.35"/>
    <row r="982" s="31" customFormat="1" ht="14.25" customHeight="1" x14ac:dyDescent="0.35"/>
    <row r="983" s="31" customFormat="1" ht="14.25" customHeight="1" x14ac:dyDescent="0.35"/>
    <row r="984" s="31" customFormat="1" ht="14.25" customHeight="1" x14ac:dyDescent="0.35"/>
    <row r="985" s="31" customFormat="1" ht="14.25" customHeight="1" x14ac:dyDescent="0.35"/>
    <row r="986" s="31" customFormat="1" ht="14.25" customHeight="1" x14ac:dyDescent="0.35"/>
    <row r="987" s="31" customFormat="1" ht="14.25" customHeight="1" x14ac:dyDescent="0.35"/>
    <row r="988" s="31" customFormat="1" ht="14.25" customHeight="1" x14ac:dyDescent="0.35"/>
    <row r="989" s="31" customFormat="1" ht="14.25" customHeight="1" x14ac:dyDescent="0.35"/>
    <row r="990" s="31" customFormat="1" ht="14.25" customHeight="1" x14ac:dyDescent="0.35"/>
    <row r="991" s="31" customFormat="1" ht="14.25" customHeight="1" x14ac:dyDescent="0.35"/>
    <row r="992" s="31" customFormat="1" ht="14.25" customHeight="1" x14ac:dyDescent="0.35"/>
    <row r="993" s="31" customFormat="1" ht="14.25" customHeight="1" x14ac:dyDescent="0.35"/>
    <row r="994" s="31" customFormat="1" ht="14.25" customHeight="1" x14ac:dyDescent="0.35"/>
    <row r="995" s="31" customFormat="1" ht="14.25" customHeight="1" x14ac:dyDescent="0.35"/>
    <row r="996" s="31" customFormat="1" ht="14.25" customHeight="1" x14ac:dyDescent="0.35"/>
    <row r="997" s="31" customFormat="1" ht="14.25" customHeight="1" x14ac:dyDescent="0.35"/>
    <row r="998" s="31" customFormat="1" ht="14.25" customHeight="1" x14ac:dyDescent="0.35"/>
    <row r="999" s="31" customFormat="1" ht="14.25" customHeight="1" x14ac:dyDescent="0.35"/>
    <row r="1000" s="31" customFormat="1" ht="14.2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CC"/>
    <pageSetUpPr fitToPage="1"/>
  </sheetPr>
  <dimension ref="A1:B23"/>
  <sheetViews>
    <sheetView topLeftCell="A14" zoomScaleNormal="100" workbookViewId="0">
      <selection activeCell="B23" sqref="B23"/>
    </sheetView>
  </sheetViews>
  <sheetFormatPr defaultColWidth="8.6328125" defaultRowHeight="14.5" x14ac:dyDescent="0.35"/>
  <cols>
    <col min="1" max="1" width="22" customWidth="1"/>
    <col min="2" max="2" width="110" customWidth="1"/>
  </cols>
  <sheetData>
    <row r="1" spans="1:2" ht="20" x14ac:dyDescent="0.4">
      <c r="A1" s="5" t="s">
        <v>0</v>
      </c>
    </row>
    <row r="3" spans="1:2" x14ac:dyDescent="0.35">
      <c r="A3" s="6" t="s">
        <v>1</v>
      </c>
      <c r="B3" s="7"/>
    </row>
    <row r="4" spans="1:2" ht="25" x14ac:dyDescent="0.35">
      <c r="A4" s="8" t="s">
        <v>2</v>
      </c>
      <c r="B4" s="7" t="s">
        <v>3</v>
      </c>
    </row>
    <row r="5" spans="1:2" x14ac:dyDescent="0.35">
      <c r="A5" s="8" t="s">
        <v>4</v>
      </c>
      <c r="B5" s="7" t="s">
        <v>5</v>
      </c>
    </row>
    <row r="6" spans="1:2" x14ac:dyDescent="0.35">
      <c r="A6" s="8" t="s">
        <v>6</v>
      </c>
      <c r="B6" s="7" t="s">
        <v>7</v>
      </c>
    </row>
    <row r="7" spans="1:2" x14ac:dyDescent="0.35">
      <c r="A7" s="8" t="s">
        <v>8</v>
      </c>
      <c r="B7" s="7" t="s">
        <v>9</v>
      </c>
    </row>
    <row r="8" spans="1:2" x14ac:dyDescent="0.35">
      <c r="A8" s="8" t="s">
        <v>10</v>
      </c>
      <c r="B8" s="7" t="s">
        <v>11</v>
      </c>
    </row>
    <row r="9" spans="1:2" x14ac:dyDescent="0.35">
      <c r="A9" s="6"/>
      <c r="B9" s="7"/>
    </row>
    <row r="10" spans="1:2" x14ac:dyDescent="0.35">
      <c r="A10" s="6" t="s">
        <v>12</v>
      </c>
      <c r="B10" s="7"/>
    </row>
    <row r="11" spans="1:2" x14ac:dyDescent="0.35">
      <c r="A11" s="8" t="s">
        <v>13</v>
      </c>
      <c r="B11" s="7" t="s">
        <v>14</v>
      </c>
    </row>
    <row r="12" spans="1:2" x14ac:dyDescent="0.35">
      <c r="A12" s="8" t="s">
        <v>15</v>
      </c>
      <c r="B12" s="7" t="s">
        <v>16</v>
      </c>
    </row>
    <row r="13" spans="1:2" ht="25" x14ac:dyDescent="0.35">
      <c r="A13" s="8" t="s">
        <v>17</v>
      </c>
      <c r="B13" s="7" t="s">
        <v>18</v>
      </c>
    </row>
    <row r="14" spans="1:2" x14ac:dyDescent="0.35">
      <c r="A14" s="6"/>
      <c r="B14" s="7"/>
    </row>
    <row r="15" spans="1:2" x14ac:dyDescent="0.35">
      <c r="A15" s="6" t="s">
        <v>19</v>
      </c>
      <c r="B15" s="7"/>
    </row>
    <row r="16" spans="1:2" x14ac:dyDescent="0.35">
      <c r="A16" s="8" t="s">
        <v>20</v>
      </c>
      <c r="B16" s="7" t="s">
        <v>21</v>
      </c>
    </row>
    <row r="17" spans="1:2" x14ac:dyDescent="0.35">
      <c r="A17" s="8" t="s">
        <v>22</v>
      </c>
      <c r="B17" s="7" t="s">
        <v>23</v>
      </c>
    </row>
    <row r="18" spans="1:2" x14ac:dyDescent="0.35">
      <c r="A18" s="8" t="s">
        <v>24</v>
      </c>
      <c r="B18" s="7" t="s">
        <v>25</v>
      </c>
    </row>
    <row r="19" spans="1:2" x14ac:dyDescent="0.35">
      <c r="A19" s="6"/>
      <c r="B19" s="7"/>
    </row>
    <row r="20" spans="1:2" x14ac:dyDescent="0.35">
      <c r="A20" s="6" t="s">
        <v>26</v>
      </c>
      <c r="B20" s="7"/>
    </row>
    <row r="21" spans="1:2" x14ac:dyDescent="0.35">
      <c r="A21" s="8" t="s">
        <v>27</v>
      </c>
      <c r="B21" s="7" t="s">
        <v>28</v>
      </c>
    </row>
    <row r="22" spans="1:2" x14ac:dyDescent="0.35">
      <c r="A22" s="8" t="s">
        <v>29</v>
      </c>
      <c r="B22" s="7" t="s">
        <v>172</v>
      </c>
    </row>
    <row r="23" spans="1:2" x14ac:dyDescent="0.35">
      <c r="A23" s="8" t="s">
        <v>30</v>
      </c>
      <c r="B23" s="7" t="s">
        <v>31</v>
      </c>
    </row>
  </sheetData>
  <pageMargins left="0.75" right="0.75" top="1" bottom="1" header="0.511811023622047" footer="0.511811023622047"/>
  <pageSetup fitToHeight="0" orientation="landscape" horizontalDpi="300" verticalDpi="300"/>
  <ignoredErrors>
    <ignoredError sqref="A11:A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99"/>
    <pageSetUpPr fitToPage="1"/>
  </sheetPr>
  <dimension ref="A1:K41"/>
  <sheetViews>
    <sheetView showGridLines="0" topLeftCell="A3" zoomScaleNormal="100" workbookViewId="0">
      <selection activeCell="G5" sqref="G5:H5"/>
    </sheetView>
  </sheetViews>
  <sheetFormatPr defaultColWidth="8.6328125" defaultRowHeight="14.5" x14ac:dyDescent="0.35"/>
  <cols>
    <col min="1" max="12" width="11" customWidth="1"/>
  </cols>
  <sheetData>
    <row r="1" spans="1:11" ht="23" x14ac:dyDescent="0.5">
      <c r="A1" s="9" t="s">
        <v>32</v>
      </c>
    </row>
    <row r="2" spans="1:11" x14ac:dyDescent="0.35">
      <c r="A2" s="10" t="s">
        <v>33</v>
      </c>
    </row>
    <row r="4" spans="1:11" x14ac:dyDescent="0.35">
      <c r="A4" s="4" t="s">
        <v>22</v>
      </c>
      <c r="B4" s="4"/>
      <c r="D4" s="4" t="s">
        <v>34</v>
      </c>
      <c r="E4" s="4"/>
      <c r="G4" s="4" t="s">
        <v>35</v>
      </c>
      <c r="H4" s="4"/>
      <c r="J4" s="4" t="s">
        <v>36</v>
      </c>
      <c r="K4" s="4"/>
    </row>
    <row r="5" spans="1:11" ht="36" customHeight="1" x14ac:dyDescent="0.35">
      <c r="A5" s="3">
        <f>Analysis!B6</f>
        <v>0.6</v>
      </c>
      <c r="B5" s="3"/>
      <c r="D5" s="2">
        <f>Analysis!B7</f>
        <v>11.523570684265366</v>
      </c>
      <c r="E5" s="2"/>
      <c r="G5" s="2">
        <f>Analysis!B8</f>
        <v>18.034175834372896</v>
      </c>
      <c r="H5" s="2"/>
      <c r="J5" s="1">
        <f>Analysis!B4</f>
        <v>50</v>
      </c>
      <c r="K5" s="1"/>
    </row>
    <row r="41" spans="1:1" x14ac:dyDescent="0.35">
      <c r="A41" s="11" t="s">
        <v>37</v>
      </c>
    </row>
  </sheetData>
  <mergeCells count="8">
    <mergeCell ref="A4:B4"/>
    <mergeCell ref="D4:E4"/>
    <mergeCell ref="G4:H4"/>
    <mergeCell ref="J4:K4"/>
    <mergeCell ref="A5:B5"/>
    <mergeCell ref="D5:E5"/>
    <mergeCell ref="G5:H5"/>
    <mergeCell ref="J5:K5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  <pageSetUpPr fitToPage="1"/>
  </sheetPr>
  <dimension ref="A1:K45"/>
  <sheetViews>
    <sheetView zoomScaleNormal="100" workbookViewId="0">
      <selection activeCell="B7" sqref="B7"/>
    </sheetView>
  </sheetViews>
  <sheetFormatPr defaultColWidth="8.6328125" defaultRowHeight="14.5" x14ac:dyDescent="0.35"/>
  <cols>
    <col min="1" max="1" width="46" customWidth="1"/>
    <col min="2" max="2" width="14" customWidth="1"/>
    <col min="3" max="3" width="16" customWidth="1"/>
    <col min="4" max="4" width="20" customWidth="1"/>
    <col min="5" max="5" width="10" customWidth="1"/>
    <col min="6" max="6" width="6.6328125" bestFit="1" customWidth="1"/>
    <col min="7" max="7" width="3" customWidth="1"/>
    <col min="8" max="8" width="15" customWidth="1"/>
    <col min="9" max="9" width="14" customWidth="1"/>
    <col min="10" max="10" width="16" customWidth="1"/>
    <col min="11" max="11" width="20" customWidth="1"/>
  </cols>
  <sheetData>
    <row r="1" spans="1:11" ht="18" x14ac:dyDescent="0.4">
      <c r="A1" s="30" t="s">
        <v>173</v>
      </c>
      <c r="B1" s="30"/>
    </row>
    <row r="3" spans="1:11" x14ac:dyDescent="0.35">
      <c r="A3" s="13" t="s">
        <v>38</v>
      </c>
      <c r="B3" s="13" t="s">
        <v>39</v>
      </c>
      <c r="H3" s="14" t="s">
        <v>40</v>
      </c>
    </row>
    <row r="4" spans="1:11" ht="26" x14ac:dyDescent="0.35">
      <c r="A4" s="15" t="s">
        <v>36</v>
      </c>
      <c r="B4" s="16">
        <f>COUNTA(Trip_Data!$A$2:$A$51)</f>
        <v>50</v>
      </c>
      <c r="H4" s="13" t="s">
        <v>41</v>
      </c>
      <c r="I4" s="13" t="s">
        <v>42</v>
      </c>
      <c r="J4" s="13" t="s">
        <v>34</v>
      </c>
    </row>
    <row r="5" spans="1:11" x14ac:dyDescent="0.35">
      <c r="A5" s="15" t="s">
        <v>43</v>
      </c>
      <c r="B5" s="16">
        <f>SUM(Trip_Data!$P$2:$P$51)</f>
        <v>30</v>
      </c>
      <c r="H5" s="17">
        <v>44927</v>
      </c>
      <c r="I5" s="17">
        <v>44957</v>
      </c>
      <c r="J5" s="18">
        <f>SUMIFS(Trip_Data!$F$2:$F$51,Trip_Data!$I$2:$I$51,"&gt;="&amp;H5,Trip_Data!$I$2:$I$51,"&lt;="&amp;I5)/SUMIFS(Trip_Data!$J$2:$J$51,Trip_Data!$I$2:$I$51,"&gt;="&amp;H5,Trip_Data!$I$2:$I$51,"&lt;="&amp;I5)</f>
        <v>11.772002213344987</v>
      </c>
    </row>
    <row r="6" spans="1:11" x14ac:dyDescent="0.35">
      <c r="A6" s="15" t="s">
        <v>22</v>
      </c>
      <c r="B6" s="19">
        <f>B5/B4</f>
        <v>0.6</v>
      </c>
      <c r="H6" s="17">
        <v>44958</v>
      </c>
      <c r="I6" s="17">
        <v>44985</v>
      </c>
      <c r="J6" s="18">
        <f>SUMIFS(Trip_Data!$F$2:$F$51,Trip_Data!$I$2:$I$51,"&gt;="&amp;H6,Trip_Data!$I$2:$I$51,"&lt;="&amp;I6)/SUMIFS(Trip_Data!$J$2:$J$51,Trip_Data!$I$2:$I$51,"&gt;="&amp;H6,Trip_Data!$I$2:$I$51,"&lt;="&amp;I6)</f>
        <v>11.394119185651899</v>
      </c>
    </row>
    <row r="7" spans="1:11" x14ac:dyDescent="0.35">
      <c r="A7" s="15" t="s">
        <v>44</v>
      </c>
      <c r="B7" s="20">
        <f>SUM(Trip_Data!$F$2:$F$51)/SUM(Trip_Data!$J$2:$J$51)</f>
        <v>11.523570684265366</v>
      </c>
    </row>
    <row r="8" spans="1:11" x14ac:dyDescent="0.35">
      <c r="A8" s="15" t="s">
        <v>35</v>
      </c>
      <c r="B8" s="20">
        <f>AVERAGE(Trip_Data!$O$2:$O$51)</f>
        <v>18.034175834372896</v>
      </c>
    </row>
    <row r="9" spans="1:11" x14ac:dyDescent="0.35">
      <c r="A9" s="15" t="s">
        <v>45</v>
      </c>
      <c r="B9" s="21" t="s">
        <v>46</v>
      </c>
      <c r="H9" s="14" t="s">
        <v>47</v>
      </c>
    </row>
    <row r="10" spans="1:11" x14ac:dyDescent="0.35">
      <c r="H10" s="13" t="s">
        <v>48</v>
      </c>
      <c r="I10" s="13" t="s">
        <v>49</v>
      </c>
      <c r="J10" s="13" t="s">
        <v>50</v>
      </c>
      <c r="K10" s="13" t="s">
        <v>34</v>
      </c>
    </row>
    <row r="11" spans="1:11" x14ac:dyDescent="0.35">
      <c r="A11" s="14" t="s">
        <v>51</v>
      </c>
      <c r="H11" s="17">
        <v>44927</v>
      </c>
      <c r="I11" s="15">
        <f>SUMIFS(Trip_Data!$F$2:$F$51,Trip_Data!$I$2:$I$51,H11)</f>
        <v>74</v>
      </c>
      <c r="J11" s="18">
        <f>SUMIFS(Trip_Data!$J$2:$J$51,Trip_Data!$I$2:$I$51,H11)</f>
        <v>5.24</v>
      </c>
      <c r="K11" s="18">
        <f t="shared" ref="K11:K44" si="0">I11/J11</f>
        <v>14.122137404580153</v>
      </c>
    </row>
    <row r="12" spans="1:11" x14ac:dyDescent="0.35">
      <c r="A12" s="13" t="s">
        <v>52</v>
      </c>
      <c r="B12" s="13" t="s">
        <v>36</v>
      </c>
      <c r="C12" s="13" t="s">
        <v>43</v>
      </c>
      <c r="D12" s="13" t="s">
        <v>53</v>
      </c>
      <c r="H12" s="17">
        <v>44932</v>
      </c>
      <c r="I12" s="15">
        <f>SUMIFS(Trip_Data!$F$2:$F$51,Trip_Data!$I$2:$I$51,H12)</f>
        <v>1756</v>
      </c>
      <c r="J12" s="18">
        <f>SUMIFS(Trip_Data!$J$2:$J$51,Trip_Data!$I$2:$I$51,H12)</f>
        <v>157.58000000000001</v>
      </c>
      <c r="K12" s="18">
        <f t="shared" si="0"/>
        <v>11.143546135296356</v>
      </c>
    </row>
    <row r="13" spans="1:11" x14ac:dyDescent="0.35">
      <c r="A13" s="15" t="s">
        <v>54</v>
      </c>
      <c r="B13" s="15">
        <f>COUNTIFS(Trip_Data!$E$2:$E$51,A13)</f>
        <v>8</v>
      </c>
      <c r="C13" s="15">
        <f>COUNTIFS(Trip_Data!$E$2:$E$51,A13,Trip_Data!$H$2:$H$51,"On-Time")</f>
        <v>7</v>
      </c>
      <c r="D13" s="22">
        <f t="shared" ref="D13:D19" si="1">C13/B13</f>
        <v>0.875</v>
      </c>
      <c r="H13" s="17">
        <v>44937</v>
      </c>
      <c r="I13" s="15">
        <f>SUMIFS(Trip_Data!$F$2:$F$51,Trip_Data!$I$2:$I$51,H13)</f>
        <v>1001</v>
      </c>
      <c r="J13" s="18">
        <f>SUMIFS(Trip_Data!$J$2:$J$51,Trip_Data!$I$2:$I$51,H13)</f>
        <v>69.37</v>
      </c>
      <c r="K13" s="18">
        <f t="shared" si="0"/>
        <v>14.429868819374368</v>
      </c>
    </row>
    <row r="14" spans="1:11" x14ac:dyDescent="0.35">
      <c r="A14" s="15" t="s">
        <v>55</v>
      </c>
      <c r="B14" s="15">
        <f>COUNTIFS(Trip_Data!$E$2:$E$51,A14)</f>
        <v>8</v>
      </c>
      <c r="C14" s="15">
        <f>COUNTIFS(Trip_Data!$E$2:$E$51,A14,Trip_Data!$H$2:$H$51,"On-Time")</f>
        <v>7</v>
      </c>
      <c r="D14" s="22">
        <f t="shared" si="1"/>
        <v>0.875</v>
      </c>
      <c r="H14" s="17">
        <v>44938</v>
      </c>
      <c r="I14" s="15">
        <f>SUMIFS(Trip_Data!$F$2:$F$51,Trip_Data!$I$2:$I$51,H14)</f>
        <v>1938</v>
      </c>
      <c r="J14" s="18">
        <f>SUMIFS(Trip_Data!$J$2:$J$51,Trip_Data!$I$2:$I$51,H14)</f>
        <v>216.29</v>
      </c>
      <c r="K14" s="18">
        <f t="shared" si="0"/>
        <v>8.9601923343658978</v>
      </c>
    </row>
    <row r="15" spans="1:11" x14ac:dyDescent="0.35">
      <c r="A15" s="15" t="s">
        <v>56</v>
      </c>
      <c r="B15" s="15">
        <f>COUNTIFS(Trip_Data!$E$2:$E$51,A15)</f>
        <v>8</v>
      </c>
      <c r="C15" s="15">
        <f>COUNTIFS(Trip_Data!$E$2:$E$51,A15,Trip_Data!$H$2:$H$51,"On-Time")</f>
        <v>5</v>
      </c>
      <c r="D15" s="22">
        <f t="shared" si="1"/>
        <v>0.625</v>
      </c>
      <c r="H15" s="17">
        <v>44942</v>
      </c>
      <c r="I15" s="15">
        <f>SUMIFS(Trip_Data!$F$2:$F$51,Trip_Data!$I$2:$I$51,H15)</f>
        <v>1269</v>
      </c>
      <c r="J15" s="18">
        <f>SUMIFS(Trip_Data!$J$2:$J$51,Trip_Data!$I$2:$I$51,H15)</f>
        <v>102.91</v>
      </c>
      <c r="K15" s="18">
        <f t="shared" si="0"/>
        <v>12.331163152268973</v>
      </c>
    </row>
    <row r="16" spans="1:11" x14ac:dyDescent="0.35">
      <c r="A16" s="15" t="s">
        <v>57</v>
      </c>
      <c r="B16" s="15">
        <f>COUNTIFS(Trip_Data!$E$2:$E$51,A16)</f>
        <v>6</v>
      </c>
      <c r="C16" s="15">
        <f>COUNTIFS(Trip_Data!$E$2:$E$51,A16,Trip_Data!$H$2:$H$51,"On-Time")</f>
        <v>3</v>
      </c>
      <c r="D16" s="22">
        <f t="shared" si="1"/>
        <v>0.5</v>
      </c>
      <c r="H16" s="17">
        <v>44943</v>
      </c>
      <c r="I16" s="15">
        <f>SUMIFS(Trip_Data!$F$2:$F$51,Trip_Data!$I$2:$I$51,H16)</f>
        <v>1784</v>
      </c>
      <c r="J16" s="18">
        <f>SUMIFS(Trip_Data!$J$2:$J$51,Trip_Data!$I$2:$I$51,H16)</f>
        <v>91.882978723404278</v>
      </c>
      <c r="K16" s="18">
        <f t="shared" si="0"/>
        <v>19.416000926247534</v>
      </c>
    </row>
    <row r="17" spans="1:11" x14ac:dyDescent="0.35">
      <c r="A17" s="15" t="s">
        <v>58</v>
      </c>
      <c r="B17" s="15">
        <f>COUNTIFS(Trip_Data!$E$2:$E$51,A17)</f>
        <v>6</v>
      </c>
      <c r="C17" s="15">
        <f>COUNTIFS(Trip_Data!$E$2:$E$51,A17,Trip_Data!$H$2:$H$51,"On-Time")</f>
        <v>3</v>
      </c>
      <c r="D17" s="22">
        <f t="shared" si="1"/>
        <v>0.5</v>
      </c>
      <c r="H17" s="17">
        <v>44944</v>
      </c>
      <c r="I17" s="15">
        <f>SUMIFS(Trip_Data!$F$2:$F$51,Trip_Data!$I$2:$I$51,H17)</f>
        <v>1767</v>
      </c>
      <c r="J17" s="18">
        <f>SUMIFS(Trip_Data!$J$2:$J$51,Trip_Data!$I$2:$I$51,H17)</f>
        <v>162.28297872340428</v>
      </c>
      <c r="K17" s="18">
        <f t="shared" si="0"/>
        <v>10.88838776500203</v>
      </c>
    </row>
    <row r="18" spans="1:11" x14ac:dyDescent="0.35">
      <c r="A18" s="15" t="s">
        <v>59</v>
      </c>
      <c r="B18" s="15">
        <f>COUNTIFS(Trip_Data!$E$2:$E$51,A18)</f>
        <v>5</v>
      </c>
      <c r="C18" s="15">
        <f>COUNTIFS(Trip_Data!$E$2:$E$51,A18,Trip_Data!$H$2:$H$51,"On-Time")</f>
        <v>2</v>
      </c>
      <c r="D18" s="22">
        <f t="shared" si="1"/>
        <v>0.4</v>
      </c>
      <c r="H18" s="17">
        <v>44945</v>
      </c>
      <c r="I18" s="15">
        <f>SUMIFS(Trip_Data!$F$2:$F$51,Trip_Data!$I$2:$I$51,H18)</f>
        <v>752</v>
      </c>
      <c r="J18" s="18">
        <f>SUMIFS(Trip_Data!$J$2:$J$51,Trip_Data!$I$2:$I$51,H18)</f>
        <v>58.08</v>
      </c>
      <c r="K18" s="18">
        <f t="shared" si="0"/>
        <v>12.947658402203857</v>
      </c>
    </row>
    <row r="19" spans="1:11" x14ac:dyDescent="0.35">
      <c r="A19" s="15" t="s">
        <v>60</v>
      </c>
      <c r="B19" s="15">
        <f>COUNTIFS(Trip_Data!$E$2:$E$51,A19)</f>
        <v>9</v>
      </c>
      <c r="C19" s="15">
        <f>COUNTIFS(Trip_Data!$E$2:$E$51,A19,Trip_Data!$H$2:$H$51,"On-Time")</f>
        <v>3</v>
      </c>
      <c r="D19" s="22">
        <f t="shared" si="1"/>
        <v>0.33333333333333331</v>
      </c>
      <c r="H19" s="17">
        <v>44947</v>
      </c>
      <c r="I19" s="15">
        <f>SUMIFS(Trip_Data!$F$2:$F$51,Trip_Data!$I$2:$I$51,H19)</f>
        <v>3471</v>
      </c>
      <c r="J19" s="18">
        <f>SUMIFS(Trip_Data!$J$2:$J$51,Trip_Data!$I$2:$I$51,H19)</f>
        <v>311.57</v>
      </c>
      <c r="K19" s="18">
        <f t="shared" si="0"/>
        <v>11.140353692589146</v>
      </c>
    </row>
    <row r="20" spans="1:11" x14ac:dyDescent="0.35">
      <c r="H20" s="17">
        <v>44948</v>
      </c>
      <c r="I20" s="15">
        <f>SUMIFS(Trip_Data!$F$2:$F$51,Trip_Data!$I$2:$I$51,H20)</f>
        <v>572</v>
      </c>
      <c r="J20" s="18">
        <f>SUMIFS(Trip_Data!$J$2:$J$51,Trip_Data!$I$2:$I$51,H20)</f>
        <v>61.6</v>
      </c>
      <c r="K20" s="18">
        <f t="shared" si="0"/>
        <v>9.2857142857142847</v>
      </c>
    </row>
    <row r="21" spans="1:11" x14ac:dyDescent="0.35">
      <c r="A21" s="14" t="s">
        <v>61</v>
      </c>
      <c r="H21" s="17">
        <v>44950</v>
      </c>
      <c r="I21" s="15">
        <f>SUMIFS(Trip_Data!$F$2:$F$51,Trip_Data!$I$2:$I$51,H21)</f>
        <v>385</v>
      </c>
      <c r="J21" s="18">
        <f>SUMIFS(Trip_Data!$J$2:$J$51,Trip_Data!$I$2:$I$51,H21)</f>
        <v>31.03</v>
      </c>
      <c r="K21" s="18">
        <f t="shared" si="0"/>
        <v>12.407347728005156</v>
      </c>
    </row>
    <row r="22" spans="1:11" ht="26" x14ac:dyDescent="0.35">
      <c r="A22" s="13" t="s">
        <v>62</v>
      </c>
      <c r="B22" s="13" t="s">
        <v>63</v>
      </c>
      <c r="C22" s="13" t="s">
        <v>64</v>
      </c>
      <c r="D22" s="13" t="s">
        <v>65</v>
      </c>
      <c r="E22" s="13" t="s">
        <v>66</v>
      </c>
      <c r="H22" s="17">
        <v>44952</v>
      </c>
      <c r="I22" s="15">
        <f>SUMIFS(Trip_Data!$F$2:$F$51,Trip_Data!$I$2:$I$51,H22)</f>
        <v>64</v>
      </c>
      <c r="J22" s="18">
        <f>SUMIFS(Trip_Data!$J$2:$J$51,Trip_Data!$I$2:$I$51,H22)</f>
        <v>4.96</v>
      </c>
      <c r="K22" s="18">
        <f t="shared" si="0"/>
        <v>12.903225806451614</v>
      </c>
    </row>
    <row r="23" spans="1:11" x14ac:dyDescent="0.35">
      <c r="A23" s="15" t="s">
        <v>67</v>
      </c>
      <c r="B23" s="15">
        <f>COUNTIFS(Trip_Data!$L$2:$L$51,A23)</f>
        <v>9</v>
      </c>
      <c r="C23" s="18">
        <f>AVERAGEIFS(Trip_Data!$O$2:$O$51,Trip_Data!$L$2:$L$51,A23)</f>
        <v>8.4655158022780128</v>
      </c>
      <c r="D23" s="23">
        <f>AVERAGEIF(Vehicle_Master!$B$2:$B$8,A23,Vehicle_Master!$D$2:$D$8)</f>
        <v>9033</v>
      </c>
      <c r="E23" s="22">
        <f>1-SUMIFS(Trip_Data!$P$2:$P$51,Trip_Data!$L$2:$L$51,A23)/B23</f>
        <v>0.44444444444444442</v>
      </c>
      <c r="H23" s="17">
        <v>44953</v>
      </c>
      <c r="I23" s="15">
        <f>SUMIFS(Trip_Data!$F$2:$F$51,Trip_Data!$I$2:$I$51,H23)</f>
        <v>1173</v>
      </c>
      <c r="J23" s="18">
        <f>SUMIFS(Trip_Data!$J$2:$J$51,Trip_Data!$I$2:$I$51,H23)</f>
        <v>108.42</v>
      </c>
      <c r="K23" s="18">
        <f t="shared" si="0"/>
        <v>10.819037078029883</v>
      </c>
    </row>
    <row r="24" spans="1:11" x14ac:dyDescent="0.35">
      <c r="A24" s="15" t="s">
        <v>68</v>
      </c>
      <c r="B24" s="15">
        <f>COUNTIFS(Trip_Data!$L$2:$L$51,A24)</f>
        <v>22</v>
      </c>
      <c r="C24" s="18">
        <f>AVERAGEIFS(Trip_Data!$O$2:$O$51,Trip_Data!$L$2:$L$51,A24)</f>
        <v>18.890421353799422</v>
      </c>
      <c r="D24" s="23">
        <f>AVERAGEIF(Vehicle_Master!$B$2:$B$8,A24,Vehicle_Master!$D$2:$D$8)</f>
        <v>8128</v>
      </c>
      <c r="E24" s="22">
        <f>1-SUMIFS(Trip_Data!$P$2:$P$51,Trip_Data!$L$2:$L$51,A24)/B24</f>
        <v>0.36363636363636365</v>
      </c>
      <c r="H24" s="17">
        <v>44954</v>
      </c>
      <c r="I24" s="15">
        <f>SUMIFS(Trip_Data!$F$2:$F$51,Trip_Data!$I$2:$I$51,H24)</f>
        <v>1262</v>
      </c>
      <c r="J24" s="18">
        <f>SUMIFS(Trip_Data!$J$2:$J$51,Trip_Data!$I$2:$I$51,H24)</f>
        <v>100.72</v>
      </c>
      <c r="K24" s="18">
        <f t="shared" si="0"/>
        <v>12.529785544082605</v>
      </c>
    </row>
    <row r="25" spans="1:11" x14ac:dyDescent="0.35">
      <c r="A25" s="15" t="s">
        <v>69</v>
      </c>
      <c r="B25" s="15">
        <f>COUNTIFS(Trip_Data!$L$2:$L$51,A25)</f>
        <v>19</v>
      </c>
      <c r="C25" s="18">
        <f>AVERAGEIFS(Trip_Data!$O$2:$O$51,Trip_Data!$L$2:$L$51,A25)</f>
        <v>21.575256827081869</v>
      </c>
      <c r="D25" s="23">
        <f>AVERAGEIF(Vehicle_Master!$B$2:$B$8,A25,Vehicle_Master!$D$2:$D$8)</f>
        <v>14186</v>
      </c>
      <c r="E25" s="22">
        <f>1-SUMIFS(Trip_Data!$P$2:$P$51,Trip_Data!$L$2:$L$51,A25)/B25</f>
        <v>0.42105263157894735</v>
      </c>
      <c r="H25" s="17">
        <v>44955</v>
      </c>
      <c r="I25" s="15">
        <f>SUMIFS(Trip_Data!$F$2:$F$51,Trip_Data!$I$2:$I$51,H25)</f>
        <v>1259</v>
      </c>
      <c r="J25" s="18">
        <f>SUMIFS(Trip_Data!$J$2:$J$51,Trip_Data!$I$2:$I$51,H25)</f>
        <v>91.882978723404278</v>
      </c>
      <c r="K25" s="18">
        <f t="shared" si="0"/>
        <v>13.702211416000923</v>
      </c>
    </row>
    <row r="26" spans="1:11" x14ac:dyDescent="0.35">
      <c r="H26" s="17">
        <v>44959</v>
      </c>
      <c r="I26" s="15">
        <f>SUMIFS(Trip_Data!$F$2:$F$51,Trip_Data!$I$2:$I$51,H26)</f>
        <v>2946</v>
      </c>
      <c r="J26" s="18">
        <f>SUMIFS(Trip_Data!$J$2:$J$51,Trip_Data!$I$2:$I$51,H26)</f>
        <v>293.73</v>
      </c>
      <c r="K26" s="18">
        <f t="shared" si="0"/>
        <v>10.029619037891941</v>
      </c>
    </row>
    <row r="27" spans="1:11" x14ac:dyDescent="0.35">
      <c r="A27" s="14" t="s">
        <v>70</v>
      </c>
      <c r="H27" s="17">
        <v>44960</v>
      </c>
      <c r="I27" s="15">
        <f>SUMIFS(Trip_Data!$F$2:$F$51,Trip_Data!$I$2:$I$51,H27)</f>
        <v>1188</v>
      </c>
      <c r="J27" s="18">
        <f>SUMIFS(Trip_Data!$J$2:$J$51,Trip_Data!$I$2:$I$51,H27)</f>
        <v>92.84</v>
      </c>
      <c r="K27" s="18">
        <f t="shared" si="0"/>
        <v>12.796208530805687</v>
      </c>
    </row>
    <row r="28" spans="1:11" x14ac:dyDescent="0.35">
      <c r="A28" s="13" t="s">
        <v>71</v>
      </c>
      <c r="B28" s="13" t="s">
        <v>63</v>
      </c>
      <c r="C28" s="13" t="s">
        <v>72</v>
      </c>
      <c r="D28" s="13" t="s">
        <v>66</v>
      </c>
      <c r="H28" s="17">
        <v>44962</v>
      </c>
      <c r="I28" s="15">
        <f>SUMIFS(Trip_Data!$F$2:$F$51,Trip_Data!$I$2:$I$51,H28)</f>
        <v>398</v>
      </c>
      <c r="J28" s="18">
        <f>SUMIFS(Trip_Data!$J$2:$J$51,Trip_Data!$I$2:$I$51,H28)</f>
        <v>43.89</v>
      </c>
      <c r="K28" s="18">
        <f t="shared" si="0"/>
        <v>9.0681248575985425</v>
      </c>
    </row>
    <row r="29" spans="1:11" x14ac:dyDescent="0.35">
      <c r="A29" s="15" t="s">
        <v>73</v>
      </c>
      <c r="B29" s="15">
        <f>COUNTIFS(Trip_Data!$C$2:$C$51,A29)</f>
        <v>6</v>
      </c>
      <c r="C29" s="15">
        <f>COUNTIFS(Trip_Data!$C$2:$C$51,A29,Trip_Data!$H$2:$H$51,"Late")</f>
        <v>2</v>
      </c>
      <c r="D29" s="22">
        <f t="shared" ref="D29:D38" si="2">C29/B29</f>
        <v>0.33333333333333331</v>
      </c>
      <c r="H29" s="17">
        <v>44963</v>
      </c>
      <c r="I29" s="15">
        <f>SUMIFS(Trip_Data!$F$2:$F$51,Trip_Data!$I$2:$I$51,H29)</f>
        <v>3450</v>
      </c>
      <c r="J29" s="18">
        <f>SUMIFS(Trip_Data!$J$2:$J$51,Trip_Data!$I$2:$I$51,H29)</f>
        <v>318.20000000000005</v>
      </c>
      <c r="K29" s="18">
        <f t="shared" si="0"/>
        <v>10.842237586423632</v>
      </c>
    </row>
    <row r="30" spans="1:11" x14ac:dyDescent="0.35">
      <c r="A30" s="15" t="s">
        <v>74</v>
      </c>
      <c r="B30" s="15">
        <f>COUNTIFS(Trip_Data!$C$2:$C$51,A30)</f>
        <v>3</v>
      </c>
      <c r="C30" s="15">
        <f>COUNTIFS(Trip_Data!$C$2:$C$51,A30,Trip_Data!$H$2:$H$51,"Late")</f>
        <v>2</v>
      </c>
      <c r="D30" s="22">
        <f t="shared" si="2"/>
        <v>0.66666666666666663</v>
      </c>
      <c r="H30" s="17">
        <v>44964</v>
      </c>
      <c r="I30" s="15">
        <f>SUMIFS(Trip_Data!$F$2:$F$51,Trip_Data!$I$2:$I$51,H30)</f>
        <v>140</v>
      </c>
      <c r="J30" s="18">
        <f>SUMIFS(Trip_Data!$J$2:$J$51,Trip_Data!$I$2:$I$51,H30)</f>
        <v>11.44</v>
      </c>
      <c r="K30" s="18">
        <f t="shared" si="0"/>
        <v>12.237762237762238</v>
      </c>
    </row>
    <row r="31" spans="1:11" x14ac:dyDescent="0.35">
      <c r="A31" s="15" t="s">
        <v>75</v>
      </c>
      <c r="B31" s="15">
        <f>COUNTIFS(Trip_Data!$C$2:$C$51,A31)</f>
        <v>6</v>
      </c>
      <c r="C31" s="15">
        <f>COUNTIFS(Trip_Data!$C$2:$C$51,A31,Trip_Data!$H$2:$H$51,"Late")</f>
        <v>0</v>
      </c>
      <c r="D31" s="22">
        <f t="shared" si="2"/>
        <v>0</v>
      </c>
      <c r="H31" s="17">
        <v>44967</v>
      </c>
      <c r="I31" s="15">
        <f>SUMIFS(Trip_Data!$F$2:$F$51,Trip_Data!$I$2:$I$51,H31)</f>
        <v>3051</v>
      </c>
      <c r="J31" s="18">
        <f>SUMIFS(Trip_Data!$J$2:$J$51,Trip_Data!$I$2:$I$51,H31)</f>
        <v>216.5</v>
      </c>
      <c r="K31" s="18">
        <f t="shared" si="0"/>
        <v>14.092378752886836</v>
      </c>
    </row>
    <row r="32" spans="1:11" x14ac:dyDescent="0.35">
      <c r="A32" s="15" t="s">
        <v>76</v>
      </c>
      <c r="B32" s="15">
        <f>COUNTIFS(Trip_Data!$C$2:$C$51,A32)</f>
        <v>6</v>
      </c>
      <c r="C32" s="15">
        <f>COUNTIFS(Trip_Data!$C$2:$C$51,A32,Trip_Data!$H$2:$H$51,"Late")</f>
        <v>3</v>
      </c>
      <c r="D32" s="22">
        <f t="shared" si="2"/>
        <v>0.5</v>
      </c>
      <c r="H32" s="17">
        <v>44969</v>
      </c>
      <c r="I32" s="15">
        <f>SUMIFS(Trip_Data!$F$2:$F$51,Trip_Data!$I$2:$I$51,H32)</f>
        <v>1565</v>
      </c>
      <c r="J32" s="18">
        <f>SUMIFS(Trip_Data!$J$2:$J$51,Trip_Data!$I$2:$I$51,H32)</f>
        <v>107.23</v>
      </c>
      <c r="K32" s="18">
        <f t="shared" si="0"/>
        <v>14.59479623239765</v>
      </c>
    </row>
    <row r="33" spans="1:11" x14ac:dyDescent="0.35">
      <c r="A33" s="15" t="s">
        <v>77</v>
      </c>
      <c r="B33" s="15">
        <f>COUNTIFS(Trip_Data!$C$2:$C$51,A33)</f>
        <v>1</v>
      </c>
      <c r="C33" s="15">
        <f>COUNTIFS(Trip_Data!$C$2:$C$51,A33,Trip_Data!$H$2:$H$51,"Late")</f>
        <v>0</v>
      </c>
      <c r="D33" s="22">
        <f t="shared" si="2"/>
        <v>0</v>
      </c>
      <c r="H33" s="17">
        <v>44970</v>
      </c>
      <c r="I33" s="15">
        <f>SUMIFS(Trip_Data!$F$2:$F$51,Trip_Data!$I$2:$I$51,H33)</f>
        <v>1803</v>
      </c>
      <c r="J33" s="18">
        <f>SUMIFS(Trip_Data!$J$2:$J$51,Trip_Data!$I$2:$I$51,H33)</f>
        <v>211.34</v>
      </c>
      <c r="K33" s="18">
        <f t="shared" si="0"/>
        <v>8.5312766158796247</v>
      </c>
    </row>
    <row r="34" spans="1:11" x14ac:dyDescent="0.35">
      <c r="A34" s="15" t="s">
        <v>78</v>
      </c>
      <c r="B34" s="15">
        <f>COUNTIFS(Trip_Data!$C$2:$C$51,A34)</f>
        <v>7</v>
      </c>
      <c r="C34" s="15">
        <f>COUNTIFS(Trip_Data!$C$2:$C$51,A34,Trip_Data!$H$2:$H$51,"Late")</f>
        <v>4</v>
      </c>
      <c r="D34" s="22">
        <f t="shared" si="2"/>
        <v>0.5714285714285714</v>
      </c>
      <c r="H34" s="17">
        <v>44971</v>
      </c>
      <c r="I34" s="15">
        <f>SUMIFS(Trip_Data!$F$2:$F$51,Trip_Data!$I$2:$I$51,H34)</f>
        <v>1376</v>
      </c>
      <c r="J34" s="18">
        <f>SUMIFS(Trip_Data!$J$2:$J$51,Trip_Data!$I$2:$I$51,H34)</f>
        <v>96.63</v>
      </c>
      <c r="K34" s="18">
        <f t="shared" si="0"/>
        <v>14.239884093966678</v>
      </c>
    </row>
    <row r="35" spans="1:11" x14ac:dyDescent="0.35">
      <c r="A35" s="15" t="s">
        <v>79</v>
      </c>
      <c r="B35" s="15">
        <f>COUNTIFS(Trip_Data!$C$2:$C$51,A35)</f>
        <v>7</v>
      </c>
      <c r="C35" s="15">
        <f>COUNTIFS(Trip_Data!$C$2:$C$51,A35,Trip_Data!$H$2:$H$51,"Late")</f>
        <v>5</v>
      </c>
      <c r="D35" s="22">
        <f t="shared" si="2"/>
        <v>0.7142857142857143</v>
      </c>
      <c r="H35" s="17">
        <v>44972</v>
      </c>
      <c r="I35" s="15">
        <f>SUMIFS(Trip_Data!$F$2:$F$51,Trip_Data!$I$2:$I$51,H35)</f>
        <v>1149</v>
      </c>
      <c r="J35" s="18">
        <f>SUMIFS(Trip_Data!$J$2:$J$51,Trip_Data!$I$2:$I$51,H35)</f>
        <v>84.97</v>
      </c>
      <c r="K35" s="18">
        <f t="shared" si="0"/>
        <v>13.522419677533247</v>
      </c>
    </row>
    <row r="36" spans="1:11" x14ac:dyDescent="0.35">
      <c r="A36" s="15" t="s">
        <v>80</v>
      </c>
      <c r="B36" s="15">
        <f>COUNTIFS(Trip_Data!$C$2:$C$51,A36)</f>
        <v>4</v>
      </c>
      <c r="C36" s="15">
        <f>COUNTIFS(Trip_Data!$C$2:$C$51,A36,Trip_Data!$H$2:$H$51,"Late")</f>
        <v>1</v>
      </c>
      <c r="D36" s="22">
        <f t="shared" si="2"/>
        <v>0.25</v>
      </c>
      <c r="H36" s="17">
        <v>44973</v>
      </c>
      <c r="I36" s="15">
        <f>SUMIFS(Trip_Data!$F$2:$F$51,Trip_Data!$I$2:$I$51,H36)</f>
        <v>3209</v>
      </c>
      <c r="J36" s="18">
        <f>SUMIFS(Trip_Data!$J$2:$J$51,Trip_Data!$I$2:$I$51,H36)</f>
        <v>223.52</v>
      </c>
      <c r="K36" s="18">
        <f t="shared" si="0"/>
        <v>14.356657122405153</v>
      </c>
    </row>
    <row r="37" spans="1:11" x14ac:dyDescent="0.35">
      <c r="A37" s="15" t="s">
        <v>81</v>
      </c>
      <c r="B37" s="15">
        <f>COUNTIFS(Trip_Data!$C$2:$C$51,A37)</f>
        <v>4</v>
      </c>
      <c r="C37" s="15">
        <f>COUNTIFS(Trip_Data!$C$2:$C$51,A37,Trip_Data!$H$2:$H$51,"Late")</f>
        <v>1</v>
      </c>
      <c r="D37" s="22">
        <f t="shared" si="2"/>
        <v>0.25</v>
      </c>
      <c r="H37" s="17">
        <v>44974</v>
      </c>
      <c r="I37" s="15">
        <f>SUMIFS(Trip_Data!$F$2:$F$51,Trip_Data!$I$2:$I$51,H37)</f>
        <v>2466</v>
      </c>
      <c r="J37" s="18">
        <f>SUMIFS(Trip_Data!$J$2:$J$51,Trip_Data!$I$2:$I$51,H37)</f>
        <v>271.29999999999995</v>
      </c>
      <c r="K37" s="18">
        <f t="shared" si="0"/>
        <v>9.089568743088833</v>
      </c>
    </row>
    <row r="38" spans="1:11" x14ac:dyDescent="0.35">
      <c r="A38" s="15" t="s">
        <v>82</v>
      </c>
      <c r="B38" s="15">
        <f>COUNTIFS(Trip_Data!$C$2:$C$51,A38)</f>
        <v>6</v>
      </c>
      <c r="C38" s="15">
        <f>COUNTIFS(Trip_Data!$C$2:$C$51,A38,Trip_Data!$H$2:$H$51,"Late")</f>
        <v>2</v>
      </c>
      <c r="D38" s="22">
        <f t="shared" si="2"/>
        <v>0.33333333333333331</v>
      </c>
      <c r="H38" s="17">
        <v>44975</v>
      </c>
      <c r="I38" s="15">
        <f>SUMIFS(Trip_Data!$F$2:$F$51,Trip_Data!$I$2:$I$51,H38)</f>
        <v>1624</v>
      </c>
      <c r="J38" s="18">
        <f>SUMIFS(Trip_Data!$J$2:$J$51,Trip_Data!$I$2:$I$51,H38)</f>
        <v>158.47</v>
      </c>
      <c r="K38" s="18">
        <f t="shared" si="0"/>
        <v>10.247996466208114</v>
      </c>
    </row>
    <row r="39" spans="1:11" x14ac:dyDescent="0.35">
      <c r="H39" s="17">
        <v>44977</v>
      </c>
      <c r="I39" s="15">
        <f>SUMIFS(Trip_Data!$F$2:$F$51,Trip_Data!$I$2:$I$51,H39)</f>
        <v>1903</v>
      </c>
      <c r="J39" s="18">
        <f>SUMIFS(Trip_Data!$J$2:$J$51,Trip_Data!$I$2:$I$51,H39)</f>
        <v>151.18</v>
      </c>
      <c r="K39" s="18">
        <f t="shared" si="0"/>
        <v>12.587643868236539</v>
      </c>
    </row>
    <row r="40" spans="1:11" x14ac:dyDescent="0.35">
      <c r="A40" s="14" t="s">
        <v>83</v>
      </c>
      <c r="H40" s="17">
        <v>44978</v>
      </c>
      <c r="I40" s="15">
        <f>SUMIFS(Trip_Data!$F$2:$F$51,Trip_Data!$I$2:$I$51,H40)</f>
        <v>1727</v>
      </c>
      <c r="J40" s="18">
        <f>SUMIFS(Trip_Data!$J$2:$J$51,Trip_Data!$I$2:$I$51,H40)</f>
        <v>161.33000000000001</v>
      </c>
      <c r="K40" s="18">
        <f t="shared" si="0"/>
        <v>10.704766627409656</v>
      </c>
    </row>
    <row r="41" spans="1:11" x14ac:dyDescent="0.35">
      <c r="A41" s="13" t="s">
        <v>84</v>
      </c>
      <c r="B41" s="13" t="s">
        <v>85</v>
      </c>
      <c r="C41" s="13" t="s">
        <v>86</v>
      </c>
      <c r="D41" s="13" t="s">
        <v>63</v>
      </c>
      <c r="E41" s="13" t="s">
        <v>72</v>
      </c>
      <c r="F41" s="13" t="s">
        <v>66</v>
      </c>
      <c r="H41" s="17">
        <v>44980</v>
      </c>
      <c r="I41" s="15">
        <f>SUMIFS(Trip_Data!$F$2:$F$51,Trip_Data!$I$2:$I$51,H41)</f>
        <v>186</v>
      </c>
      <c r="J41" s="18">
        <f>SUMIFS(Trip_Data!$J$2:$J$51,Trip_Data!$I$2:$I$51,H41)</f>
        <v>16.22</v>
      </c>
      <c r="K41" s="18">
        <f t="shared" si="0"/>
        <v>11.467324290998768</v>
      </c>
    </row>
    <row r="42" spans="1:11" x14ac:dyDescent="0.35">
      <c r="A42" s="15" t="s">
        <v>87</v>
      </c>
      <c r="B42" s="24">
        <v>0</v>
      </c>
      <c r="C42" s="24">
        <v>499</v>
      </c>
      <c r="D42" s="15">
        <f>COUNTIFS(Trip_Data!$F$2:$F$51,"&gt;="&amp;B42,Trip_Data!$F$2:$F$51,"&lt;="&amp;C42)</f>
        <v>13</v>
      </c>
      <c r="E42" s="15">
        <f>COUNTIFS(Trip_Data!$F$2:$F$51,"&gt;="&amp;B42,Trip_Data!$F$2:$F$51,"&lt;="&amp;C42,Trip_Data!$H$2:$H$51,"Late")</f>
        <v>5</v>
      </c>
      <c r="F42" s="22">
        <f>IF(D42=0,0,E42/D42)</f>
        <v>0.38461538461538464</v>
      </c>
      <c r="H42" s="17">
        <v>44981</v>
      </c>
      <c r="I42" s="15">
        <f>SUMIFS(Trip_Data!$F$2:$F$51,Trip_Data!$I$2:$I$51,H42)</f>
        <v>1404</v>
      </c>
      <c r="J42" s="18">
        <f>SUMIFS(Trip_Data!$J$2:$J$51,Trip_Data!$I$2:$I$51,H42)</f>
        <v>151.36000000000001</v>
      </c>
      <c r="K42" s="18">
        <f t="shared" si="0"/>
        <v>9.2758985200845654</v>
      </c>
    </row>
    <row r="43" spans="1:11" x14ac:dyDescent="0.35">
      <c r="A43" s="15" t="s">
        <v>88</v>
      </c>
      <c r="B43" s="24">
        <v>500</v>
      </c>
      <c r="C43" s="24">
        <v>999</v>
      </c>
      <c r="D43" s="15">
        <f>COUNTIFS(Trip_Data!$F$2:$F$51,"&gt;="&amp;B43,Trip_Data!$F$2:$F$51,"&lt;="&amp;C43)</f>
        <v>8</v>
      </c>
      <c r="E43" s="15">
        <f>COUNTIFS(Trip_Data!$F$2:$F$51,"&gt;="&amp;B43,Trip_Data!$F$2:$F$51,"&lt;="&amp;C43,Trip_Data!$H$2:$H$51,"Late")</f>
        <v>3</v>
      </c>
      <c r="F43" s="22">
        <f>IF(D43=0,0,E43/D43)</f>
        <v>0.375</v>
      </c>
      <c r="H43" s="17">
        <v>44982</v>
      </c>
      <c r="I43" s="15">
        <f>SUMIFS(Trip_Data!$F$2:$F$51,Trip_Data!$I$2:$I$51,H43)</f>
        <v>1275</v>
      </c>
      <c r="J43" s="18">
        <f>SUMIFS(Trip_Data!$J$2:$J$51,Trip_Data!$I$2:$I$51,H43)</f>
        <v>85.04</v>
      </c>
      <c r="K43" s="18">
        <f t="shared" si="0"/>
        <v>14.99294449670743</v>
      </c>
    </row>
    <row r="44" spans="1:11" x14ac:dyDescent="0.35">
      <c r="A44" s="15" t="s">
        <v>89</v>
      </c>
      <c r="B44" s="24">
        <v>1000</v>
      </c>
      <c r="C44" s="24">
        <v>1499</v>
      </c>
      <c r="D44" s="15">
        <f>COUNTIFS(Trip_Data!$F$2:$F$51,"&gt;="&amp;B44,Trip_Data!$F$2:$F$51,"&lt;="&amp;C44)</f>
        <v>15</v>
      </c>
      <c r="E44" s="15">
        <f>COUNTIFS(Trip_Data!$F$2:$F$51,"&gt;="&amp;B44,Trip_Data!$F$2:$F$51,"&lt;="&amp;C44,Trip_Data!$H$2:$H$51,"Late")</f>
        <v>7</v>
      </c>
      <c r="F44" s="22">
        <f>IF(D44=0,0,E44/D44)</f>
        <v>0.46666666666666667</v>
      </c>
      <c r="H44" s="17">
        <v>44985</v>
      </c>
      <c r="I44" s="15">
        <f>SUMIFS(Trip_Data!$F$2:$F$51,Trip_Data!$I$2:$I$51,H44)</f>
        <v>3554</v>
      </c>
      <c r="J44" s="18">
        <f>SUMIFS(Trip_Data!$J$2:$J$51,Trip_Data!$I$2:$I$51,H44)</f>
        <v>325.14</v>
      </c>
      <c r="K44" s="18">
        <f t="shared" si="0"/>
        <v>10.930676016485206</v>
      </c>
    </row>
    <row r="45" spans="1:11" x14ac:dyDescent="0.35">
      <c r="A45" s="15" t="s">
        <v>90</v>
      </c>
      <c r="B45" s="24">
        <v>1500</v>
      </c>
      <c r="C45" s="24">
        <v>99999</v>
      </c>
      <c r="D45" s="15">
        <f>COUNTIFS(Trip_Data!$F$2:$F$51,"&gt;="&amp;B45,Trip_Data!$F$2:$F$51,"&lt;="&amp;C45)</f>
        <v>14</v>
      </c>
      <c r="E45" s="15">
        <f>COUNTIFS(Trip_Data!$F$2:$F$51,"&gt;="&amp;B45,Trip_Data!$F$2:$F$51,"&lt;="&amp;C45,Trip_Data!$H$2:$H$51,"Late")</f>
        <v>5</v>
      </c>
      <c r="F45" s="22">
        <f>IF(D45=0,0,E45/D45)</f>
        <v>0.35714285714285715</v>
      </c>
    </row>
  </sheetData>
  <mergeCells count="1">
    <mergeCell ref="A1:B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P51"/>
  <sheetViews>
    <sheetView zoomScaleNormal="100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P43" sqref="P43"/>
    </sheetView>
  </sheetViews>
  <sheetFormatPr defaultColWidth="8.6328125" defaultRowHeight="14.5" x14ac:dyDescent="0.35"/>
  <cols>
    <col min="1" max="1" width="9" customWidth="1"/>
    <col min="2" max="2" width="10" customWidth="1"/>
    <col min="3" max="3" width="9" customWidth="1"/>
    <col min="4" max="4" width="12" customWidth="1"/>
    <col min="5" max="5" width="13" customWidth="1"/>
    <col min="6" max="6" width="12" customWidth="1"/>
    <col min="7" max="7" width="16" customWidth="1"/>
    <col min="8" max="8" width="15" customWidth="1"/>
    <col min="9" max="9" width="14" customWidth="1"/>
    <col min="10" max="12" width="13" customWidth="1"/>
    <col min="13" max="13" width="16" customWidth="1"/>
    <col min="14" max="14" width="22" customWidth="1"/>
    <col min="15" max="16" width="12" customWidth="1"/>
  </cols>
  <sheetData>
    <row r="1" spans="1:16" ht="31.5" customHeight="1" x14ac:dyDescent="0.35">
      <c r="A1" s="13" t="s">
        <v>91</v>
      </c>
      <c r="B1" s="13" t="s">
        <v>92</v>
      </c>
      <c r="C1" s="13" t="s">
        <v>71</v>
      </c>
      <c r="D1" s="13" t="s">
        <v>93</v>
      </c>
      <c r="E1" s="13" t="s">
        <v>52</v>
      </c>
      <c r="F1" s="13" t="s">
        <v>94</v>
      </c>
      <c r="G1" s="13" t="s">
        <v>95</v>
      </c>
      <c r="H1" s="13" t="s">
        <v>96</v>
      </c>
      <c r="I1" s="13" t="s">
        <v>97</v>
      </c>
      <c r="J1" s="13" t="s">
        <v>98</v>
      </c>
      <c r="K1" s="13" t="s">
        <v>99</v>
      </c>
      <c r="L1" s="13" t="s">
        <v>100</v>
      </c>
      <c r="M1" s="13" t="s">
        <v>101</v>
      </c>
      <c r="N1" s="13" t="s">
        <v>102</v>
      </c>
      <c r="O1" s="13" t="s">
        <v>103</v>
      </c>
      <c r="P1" s="13" t="s">
        <v>104</v>
      </c>
    </row>
    <row r="2" spans="1:16" x14ac:dyDescent="0.35">
      <c r="A2" s="15" t="s">
        <v>105</v>
      </c>
      <c r="B2" s="15" t="s">
        <v>106</v>
      </c>
      <c r="C2" s="15" t="s">
        <v>73</v>
      </c>
      <c r="D2" s="15" t="s">
        <v>54</v>
      </c>
      <c r="E2" s="15" t="s">
        <v>55</v>
      </c>
      <c r="F2" s="15">
        <v>1173</v>
      </c>
      <c r="G2" s="15">
        <v>108.42</v>
      </c>
      <c r="H2" s="15" t="s">
        <v>107</v>
      </c>
      <c r="I2" s="17">
        <v>44953</v>
      </c>
      <c r="J2" s="18">
        <f>IF(G2="",Assumptions!$B$3,G2)</f>
        <v>108.42</v>
      </c>
      <c r="K2" s="15" t="str">
        <f t="shared" ref="K2:K33" si="0">IF(G2="","Yes","No")</f>
        <v>No</v>
      </c>
      <c r="L2" s="25" t="str">
        <f>INDEX(Vehicle_Master!$B$2:$B$8,MATCH(B2,Vehicle_Master!$A$2:$A$8,0))</f>
        <v>Mini-Truck</v>
      </c>
      <c r="M2" s="25">
        <f>INDEX(Vehicle_Master!$D$2:$D$8,MATCH(B2,Vehicle_Master!$A$2:$A$8,0))</f>
        <v>9033</v>
      </c>
      <c r="N2" s="18">
        <f t="shared" ref="N2:N33" si="1">F2/J2</f>
        <v>10.819037078029883</v>
      </c>
      <c r="O2" s="18">
        <f>(Assumptions!$B$4+M2)/F2</f>
        <v>7.7860187553282181</v>
      </c>
      <c r="P2" s="15">
        <f t="shared" ref="P2:P33" si="2">IF(H2="On-Time",1,0)</f>
        <v>1</v>
      </c>
    </row>
    <row r="3" spans="1:16" x14ac:dyDescent="0.35">
      <c r="A3" s="15" t="s">
        <v>108</v>
      </c>
      <c r="B3" s="15" t="s">
        <v>109</v>
      </c>
      <c r="C3" s="15" t="s">
        <v>80</v>
      </c>
      <c r="D3" s="15" t="s">
        <v>60</v>
      </c>
      <c r="E3" s="15" t="s">
        <v>56</v>
      </c>
      <c r="F3" s="15">
        <v>1727</v>
      </c>
      <c r="G3" s="15">
        <v>161.33000000000001</v>
      </c>
      <c r="H3" s="15" t="s">
        <v>107</v>
      </c>
      <c r="I3" s="17">
        <v>44978</v>
      </c>
      <c r="J3" s="18">
        <f>IF(G3="",Assumptions!$B$3,G3)</f>
        <v>161.33000000000001</v>
      </c>
      <c r="K3" s="15" t="str">
        <f t="shared" si="0"/>
        <v>No</v>
      </c>
      <c r="L3" s="25" t="str">
        <f>INDEX(Vehicle_Master!$B$2:$B$8,MATCH(B3,Vehicle_Master!$A$2:$A$8,0))</f>
        <v>Van</v>
      </c>
      <c r="M3" s="25">
        <f>INDEX(Vehicle_Master!$D$2:$D$8,MATCH(B3,Vehicle_Master!$A$2:$A$8,0))</f>
        <v>5914</v>
      </c>
      <c r="N3" s="18">
        <f t="shared" si="1"/>
        <v>10.704766627409656</v>
      </c>
      <c r="O3" s="18">
        <f>(Assumptions!$B$4+M3)/F3</f>
        <v>3.4823393167342211</v>
      </c>
      <c r="P3" s="15">
        <f t="shared" si="2"/>
        <v>1</v>
      </c>
    </row>
    <row r="4" spans="1:16" x14ac:dyDescent="0.35">
      <c r="A4" s="15" t="s">
        <v>110</v>
      </c>
      <c r="B4" s="15" t="s">
        <v>109</v>
      </c>
      <c r="C4" s="15" t="s">
        <v>80</v>
      </c>
      <c r="D4" s="15" t="s">
        <v>60</v>
      </c>
      <c r="E4" s="15" t="s">
        <v>55</v>
      </c>
      <c r="F4" s="15">
        <v>1459</v>
      </c>
      <c r="G4" s="15">
        <v>154.69999999999999</v>
      </c>
      <c r="H4" s="15" t="s">
        <v>107</v>
      </c>
      <c r="I4" s="17">
        <v>44974</v>
      </c>
      <c r="J4" s="18">
        <f>IF(G4="",Assumptions!$B$3,G4)</f>
        <v>154.69999999999999</v>
      </c>
      <c r="K4" s="15" t="str">
        <f t="shared" si="0"/>
        <v>No</v>
      </c>
      <c r="L4" s="25" t="str">
        <f>INDEX(Vehicle_Master!$B$2:$B$8,MATCH(B4,Vehicle_Master!$A$2:$A$8,0))</f>
        <v>Van</v>
      </c>
      <c r="M4" s="25">
        <f>INDEX(Vehicle_Master!$D$2:$D$8,MATCH(B4,Vehicle_Master!$A$2:$A$8,0))</f>
        <v>5914</v>
      </c>
      <c r="N4" s="18">
        <f t="shared" si="1"/>
        <v>9.431157078215902</v>
      </c>
      <c r="O4" s="18">
        <f>(Assumptions!$B$4+M4)/F4</f>
        <v>4.122001370801919</v>
      </c>
      <c r="P4" s="15">
        <f t="shared" si="2"/>
        <v>1</v>
      </c>
    </row>
    <row r="5" spans="1:16" x14ac:dyDescent="0.35">
      <c r="A5" s="15" t="s">
        <v>111</v>
      </c>
      <c r="B5" s="15" t="s">
        <v>106</v>
      </c>
      <c r="C5" s="15" t="s">
        <v>81</v>
      </c>
      <c r="D5" s="15" t="s">
        <v>58</v>
      </c>
      <c r="E5" s="15" t="s">
        <v>55</v>
      </c>
      <c r="F5" s="15">
        <v>382</v>
      </c>
      <c r="G5" s="15">
        <v>26.6</v>
      </c>
      <c r="H5" s="15" t="s">
        <v>107</v>
      </c>
      <c r="I5" s="17">
        <v>44975</v>
      </c>
      <c r="J5" s="18">
        <f>IF(G5="",Assumptions!$B$3,G5)</f>
        <v>26.6</v>
      </c>
      <c r="K5" s="15" t="str">
        <f t="shared" si="0"/>
        <v>No</v>
      </c>
      <c r="L5" s="25" t="str">
        <f>INDEX(Vehicle_Master!$B$2:$B$8,MATCH(B5,Vehicle_Master!$A$2:$A$8,0))</f>
        <v>Mini-Truck</v>
      </c>
      <c r="M5" s="25">
        <f>INDEX(Vehicle_Master!$D$2:$D$8,MATCH(B5,Vehicle_Master!$A$2:$A$8,0))</f>
        <v>9033</v>
      </c>
      <c r="N5" s="18">
        <f t="shared" si="1"/>
        <v>14.360902255639097</v>
      </c>
      <c r="O5" s="18">
        <f>(Assumptions!$B$4+M5)/F5</f>
        <v>23.908376963350786</v>
      </c>
      <c r="P5" s="15">
        <f t="shared" si="2"/>
        <v>1</v>
      </c>
    </row>
    <row r="6" spans="1:16" x14ac:dyDescent="0.35">
      <c r="A6" s="15" t="s">
        <v>112</v>
      </c>
      <c r="B6" s="15" t="s">
        <v>109</v>
      </c>
      <c r="C6" s="15" t="s">
        <v>80</v>
      </c>
      <c r="D6" s="15" t="s">
        <v>55</v>
      </c>
      <c r="E6" s="15" t="s">
        <v>60</v>
      </c>
      <c r="F6" s="15">
        <v>398</v>
      </c>
      <c r="G6" s="15">
        <v>33.200000000000003</v>
      </c>
      <c r="H6" s="15" t="s">
        <v>107</v>
      </c>
      <c r="I6" s="17">
        <v>44972</v>
      </c>
      <c r="J6" s="18">
        <f>IF(G6="",Assumptions!$B$3,G6)</f>
        <v>33.200000000000003</v>
      </c>
      <c r="K6" s="15" t="str">
        <f t="shared" si="0"/>
        <v>No</v>
      </c>
      <c r="L6" s="25" t="str">
        <f>INDEX(Vehicle_Master!$B$2:$B$8,MATCH(B6,Vehicle_Master!$A$2:$A$8,0))</f>
        <v>Van</v>
      </c>
      <c r="M6" s="25">
        <f>INDEX(Vehicle_Master!$D$2:$D$8,MATCH(B6,Vehicle_Master!$A$2:$A$8,0))</f>
        <v>5914</v>
      </c>
      <c r="N6" s="18">
        <f t="shared" si="1"/>
        <v>11.987951807228916</v>
      </c>
      <c r="O6" s="18">
        <f>(Assumptions!$B$4+M6)/F6</f>
        <v>15.110552763819095</v>
      </c>
      <c r="P6" s="15">
        <f t="shared" si="2"/>
        <v>1</v>
      </c>
    </row>
    <row r="7" spans="1:16" x14ac:dyDescent="0.35">
      <c r="A7" s="15" t="s">
        <v>113</v>
      </c>
      <c r="B7" s="15" t="s">
        <v>109</v>
      </c>
      <c r="C7" s="15" t="s">
        <v>79</v>
      </c>
      <c r="D7" s="15" t="s">
        <v>59</v>
      </c>
      <c r="E7" s="15" t="s">
        <v>60</v>
      </c>
      <c r="F7" s="15">
        <v>1275</v>
      </c>
      <c r="G7" s="15">
        <v>85.04</v>
      </c>
      <c r="H7" s="15" t="s">
        <v>114</v>
      </c>
      <c r="I7" s="17">
        <v>44982</v>
      </c>
      <c r="J7" s="18">
        <f>IF(G7="",Assumptions!$B$3,G7)</f>
        <v>85.04</v>
      </c>
      <c r="K7" s="15" t="str">
        <f t="shared" si="0"/>
        <v>No</v>
      </c>
      <c r="L7" s="25" t="str">
        <f>INDEX(Vehicle_Master!$B$2:$B$8,MATCH(B7,Vehicle_Master!$A$2:$A$8,0))</f>
        <v>Van</v>
      </c>
      <c r="M7" s="25">
        <f>INDEX(Vehicle_Master!$D$2:$D$8,MATCH(B7,Vehicle_Master!$A$2:$A$8,0))</f>
        <v>5914</v>
      </c>
      <c r="N7" s="18">
        <f t="shared" si="1"/>
        <v>14.99294449670743</v>
      </c>
      <c r="O7" s="18">
        <f>(Assumptions!$B$4+M7)/F7</f>
        <v>4.7168627450980392</v>
      </c>
      <c r="P7" s="15">
        <f t="shared" si="2"/>
        <v>0</v>
      </c>
    </row>
    <row r="8" spans="1:16" x14ac:dyDescent="0.35">
      <c r="A8" s="15" t="s">
        <v>115</v>
      </c>
      <c r="B8" s="15" t="s">
        <v>116</v>
      </c>
      <c r="C8" s="15" t="s">
        <v>75</v>
      </c>
      <c r="D8" s="15" t="s">
        <v>59</v>
      </c>
      <c r="E8" s="15" t="s">
        <v>57</v>
      </c>
      <c r="F8" s="15">
        <v>752</v>
      </c>
      <c r="G8" s="15">
        <v>58.08</v>
      </c>
      <c r="H8" s="15" t="s">
        <v>107</v>
      </c>
      <c r="I8" s="17">
        <v>44945</v>
      </c>
      <c r="J8" s="18">
        <f>IF(G8="",Assumptions!$B$3,G8)</f>
        <v>58.08</v>
      </c>
      <c r="K8" s="15" t="str">
        <f t="shared" si="0"/>
        <v>No</v>
      </c>
      <c r="L8" s="25" t="str">
        <f>INDEX(Vehicle_Master!$B$2:$B$8,MATCH(B8,Vehicle_Master!$A$2:$A$8,0))</f>
        <v>Van</v>
      </c>
      <c r="M8" s="25">
        <f>INDEX(Vehicle_Master!$D$2:$D$8,MATCH(B8,Vehicle_Master!$A$2:$A$8,0))</f>
        <v>12837</v>
      </c>
      <c r="N8" s="18">
        <f t="shared" si="1"/>
        <v>12.947658402203857</v>
      </c>
      <c r="O8" s="18">
        <f>(Assumptions!$B$4+M8)/F8</f>
        <v>17.20345744680851</v>
      </c>
      <c r="P8" s="15">
        <f t="shared" si="2"/>
        <v>1</v>
      </c>
    </row>
    <row r="9" spans="1:16" x14ac:dyDescent="0.35">
      <c r="A9" s="15" t="s">
        <v>117</v>
      </c>
      <c r="B9" s="15" t="s">
        <v>118</v>
      </c>
      <c r="C9" s="15" t="s">
        <v>82</v>
      </c>
      <c r="D9" s="15" t="s">
        <v>54</v>
      </c>
      <c r="E9" s="15" t="s">
        <v>55</v>
      </c>
      <c r="F9" s="15">
        <v>74</v>
      </c>
      <c r="G9" s="15">
        <v>5.24</v>
      </c>
      <c r="H9" s="15" t="s">
        <v>107</v>
      </c>
      <c r="I9" s="17">
        <v>44927</v>
      </c>
      <c r="J9" s="18">
        <f>IF(G9="",Assumptions!$B$3,G9)</f>
        <v>5.24</v>
      </c>
      <c r="K9" s="15" t="str">
        <f t="shared" si="0"/>
        <v>No</v>
      </c>
      <c r="L9" s="25" t="str">
        <f>INDEX(Vehicle_Master!$B$2:$B$8,MATCH(B9,Vehicle_Master!$A$2:$A$8,0))</f>
        <v>Truck</v>
      </c>
      <c r="M9" s="25">
        <f>INDEX(Vehicle_Master!$D$2:$D$8,MATCH(B9,Vehicle_Master!$A$2:$A$8,0))</f>
        <v>6776</v>
      </c>
      <c r="N9" s="18">
        <f t="shared" si="1"/>
        <v>14.122137404580153</v>
      </c>
      <c r="O9" s="18">
        <f>(Assumptions!$B$4+M9)/F9</f>
        <v>92.918918918918919</v>
      </c>
      <c r="P9" s="15">
        <f t="shared" si="2"/>
        <v>1</v>
      </c>
    </row>
    <row r="10" spans="1:16" x14ac:dyDescent="0.35">
      <c r="A10" s="15" t="s">
        <v>119</v>
      </c>
      <c r="B10" s="15" t="s">
        <v>118</v>
      </c>
      <c r="C10" s="15" t="s">
        <v>79</v>
      </c>
      <c r="D10" s="15" t="s">
        <v>54</v>
      </c>
      <c r="E10" s="15" t="s">
        <v>58</v>
      </c>
      <c r="F10" s="15">
        <v>186</v>
      </c>
      <c r="G10" s="15">
        <v>16.22</v>
      </c>
      <c r="H10" s="15" t="s">
        <v>107</v>
      </c>
      <c r="I10" s="17">
        <v>44980</v>
      </c>
      <c r="J10" s="18">
        <f>IF(G10="",Assumptions!$B$3,G10)</f>
        <v>16.22</v>
      </c>
      <c r="K10" s="15" t="str">
        <f t="shared" si="0"/>
        <v>No</v>
      </c>
      <c r="L10" s="25" t="str">
        <f>INDEX(Vehicle_Master!$B$2:$B$8,MATCH(B10,Vehicle_Master!$A$2:$A$8,0))</f>
        <v>Truck</v>
      </c>
      <c r="M10" s="25">
        <f>INDEX(Vehicle_Master!$D$2:$D$8,MATCH(B10,Vehicle_Master!$A$2:$A$8,0))</f>
        <v>6776</v>
      </c>
      <c r="N10" s="18">
        <f t="shared" si="1"/>
        <v>11.467324290998768</v>
      </c>
      <c r="O10" s="18">
        <f>(Assumptions!$B$4+M10)/F10</f>
        <v>36.967741935483872</v>
      </c>
      <c r="P10" s="15">
        <f t="shared" si="2"/>
        <v>1</v>
      </c>
    </row>
    <row r="11" spans="1:16" x14ac:dyDescent="0.35">
      <c r="A11" s="15" t="s">
        <v>120</v>
      </c>
      <c r="B11" s="15" t="s">
        <v>118</v>
      </c>
      <c r="C11" s="15" t="s">
        <v>74</v>
      </c>
      <c r="D11" s="15" t="s">
        <v>56</v>
      </c>
      <c r="E11" s="15" t="s">
        <v>58</v>
      </c>
      <c r="F11" s="15">
        <v>1375</v>
      </c>
      <c r="G11" s="15">
        <v>105.21</v>
      </c>
      <c r="H11" s="15" t="s">
        <v>114</v>
      </c>
      <c r="I11" s="17">
        <v>44959</v>
      </c>
      <c r="J11" s="18">
        <f>IF(G11="",Assumptions!$B$3,G11)</f>
        <v>105.21</v>
      </c>
      <c r="K11" s="15" t="str">
        <f t="shared" si="0"/>
        <v>No</v>
      </c>
      <c r="L11" s="25" t="str">
        <f>INDEX(Vehicle_Master!$B$2:$B$8,MATCH(B11,Vehicle_Master!$A$2:$A$8,0))</f>
        <v>Truck</v>
      </c>
      <c r="M11" s="25">
        <f>INDEX(Vehicle_Master!$D$2:$D$8,MATCH(B11,Vehicle_Master!$A$2:$A$8,0))</f>
        <v>6776</v>
      </c>
      <c r="N11" s="18">
        <f t="shared" si="1"/>
        <v>13.069099895447202</v>
      </c>
      <c r="O11" s="18">
        <f>(Assumptions!$B$4+M11)/F11</f>
        <v>5.0007272727272731</v>
      </c>
      <c r="P11" s="15">
        <f t="shared" si="2"/>
        <v>0</v>
      </c>
    </row>
    <row r="12" spans="1:16" x14ac:dyDescent="0.35">
      <c r="A12" s="15" t="s">
        <v>121</v>
      </c>
      <c r="B12" s="15" t="s">
        <v>109</v>
      </c>
      <c r="C12" s="15" t="s">
        <v>75</v>
      </c>
      <c r="D12" s="15" t="s">
        <v>57</v>
      </c>
      <c r="E12" s="15" t="s">
        <v>58</v>
      </c>
      <c r="F12" s="15">
        <v>419</v>
      </c>
      <c r="G12" s="15">
        <v>31.17</v>
      </c>
      <c r="H12" s="15" t="s">
        <v>107</v>
      </c>
      <c r="I12" s="17">
        <v>44947</v>
      </c>
      <c r="J12" s="18">
        <f>IF(G12="",Assumptions!$B$3,G12)</f>
        <v>31.17</v>
      </c>
      <c r="K12" s="15" t="str">
        <f t="shared" si="0"/>
        <v>No</v>
      </c>
      <c r="L12" s="25" t="str">
        <f>INDEX(Vehicle_Master!$B$2:$B$8,MATCH(B12,Vehicle_Master!$A$2:$A$8,0))</f>
        <v>Van</v>
      </c>
      <c r="M12" s="25">
        <f>INDEX(Vehicle_Master!$D$2:$D$8,MATCH(B12,Vehicle_Master!$A$2:$A$8,0))</f>
        <v>5914</v>
      </c>
      <c r="N12" s="18">
        <f t="shared" si="1"/>
        <v>13.442412576195059</v>
      </c>
      <c r="O12" s="18">
        <f>(Assumptions!$B$4+M12)/F12</f>
        <v>14.353221957040573</v>
      </c>
      <c r="P12" s="15">
        <f t="shared" si="2"/>
        <v>1</v>
      </c>
    </row>
    <row r="13" spans="1:16" x14ac:dyDescent="0.35">
      <c r="A13" s="15" t="s">
        <v>122</v>
      </c>
      <c r="B13" s="15" t="s">
        <v>109</v>
      </c>
      <c r="C13" s="15" t="s">
        <v>73</v>
      </c>
      <c r="D13" s="15" t="s">
        <v>57</v>
      </c>
      <c r="E13" s="15" t="s">
        <v>54</v>
      </c>
      <c r="F13" s="15">
        <v>751</v>
      </c>
      <c r="G13" s="15">
        <v>51.77</v>
      </c>
      <c r="H13" s="15" t="s">
        <v>107</v>
      </c>
      <c r="I13" s="17">
        <v>44972</v>
      </c>
      <c r="J13" s="18">
        <f>IF(G13="",Assumptions!$B$3,G13)</f>
        <v>51.77</v>
      </c>
      <c r="K13" s="15" t="str">
        <f t="shared" si="0"/>
        <v>No</v>
      </c>
      <c r="L13" s="25" t="str">
        <f>INDEX(Vehicle_Master!$B$2:$B$8,MATCH(B13,Vehicle_Master!$A$2:$A$8,0))</f>
        <v>Van</v>
      </c>
      <c r="M13" s="25">
        <f>INDEX(Vehicle_Master!$D$2:$D$8,MATCH(B13,Vehicle_Master!$A$2:$A$8,0))</f>
        <v>5914</v>
      </c>
      <c r="N13" s="18">
        <f t="shared" si="1"/>
        <v>14.506470929109522</v>
      </c>
      <c r="O13" s="18">
        <f>(Assumptions!$B$4+M13)/F13</f>
        <v>8.0079893475366184</v>
      </c>
      <c r="P13" s="15">
        <f t="shared" si="2"/>
        <v>1</v>
      </c>
    </row>
    <row r="14" spans="1:16" x14ac:dyDescent="0.35">
      <c r="A14" s="15" t="s">
        <v>123</v>
      </c>
      <c r="B14" s="15" t="s">
        <v>124</v>
      </c>
      <c r="C14" s="15" t="s">
        <v>76</v>
      </c>
      <c r="D14" s="15" t="s">
        <v>57</v>
      </c>
      <c r="E14" s="15" t="s">
        <v>59</v>
      </c>
      <c r="F14" s="15">
        <v>1571</v>
      </c>
      <c r="G14" s="15">
        <v>188.52</v>
      </c>
      <c r="H14" s="15" t="s">
        <v>114</v>
      </c>
      <c r="I14" s="17">
        <v>44959</v>
      </c>
      <c r="J14" s="18">
        <f>IF(G14="",Assumptions!$B$3,G14)</f>
        <v>188.52</v>
      </c>
      <c r="K14" s="15" t="str">
        <f t="shared" si="0"/>
        <v>No</v>
      </c>
      <c r="L14" s="25" t="str">
        <f>INDEX(Vehicle_Master!$B$2:$B$8,MATCH(B14,Vehicle_Master!$A$2:$A$8,0))</f>
        <v>Truck</v>
      </c>
      <c r="M14" s="25">
        <f>INDEX(Vehicle_Master!$D$2:$D$8,MATCH(B14,Vehicle_Master!$A$2:$A$8,0))</f>
        <v>17751</v>
      </c>
      <c r="N14" s="18">
        <f t="shared" si="1"/>
        <v>8.3333333333333321</v>
      </c>
      <c r="O14" s="18">
        <f>(Assumptions!$B$4+M14)/F14</f>
        <v>11.362826225334182</v>
      </c>
      <c r="P14" s="15">
        <f t="shared" si="2"/>
        <v>0</v>
      </c>
    </row>
    <row r="15" spans="1:16" x14ac:dyDescent="0.35">
      <c r="A15" s="15" t="s">
        <v>125</v>
      </c>
      <c r="B15" s="15" t="s">
        <v>124</v>
      </c>
      <c r="C15" s="15" t="s">
        <v>77</v>
      </c>
      <c r="D15" s="15" t="s">
        <v>58</v>
      </c>
      <c r="E15" s="15" t="s">
        <v>56</v>
      </c>
      <c r="F15" s="15">
        <v>1524</v>
      </c>
      <c r="G15" s="15">
        <v>104.51</v>
      </c>
      <c r="H15" s="15" t="s">
        <v>107</v>
      </c>
      <c r="I15" s="17">
        <v>44973</v>
      </c>
      <c r="J15" s="18">
        <f>IF(G15="",Assumptions!$B$3,G15)</f>
        <v>104.51</v>
      </c>
      <c r="K15" s="15" t="str">
        <f t="shared" si="0"/>
        <v>No</v>
      </c>
      <c r="L15" s="25" t="str">
        <f>INDEX(Vehicle_Master!$B$2:$B$8,MATCH(B15,Vehicle_Master!$A$2:$A$8,0))</f>
        <v>Truck</v>
      </c>
      <c r="M15" s="25">
        <f>INDEX(Vehicle_Master!$D$2:$D$8,MATCH(B15,Vehicle_Master!$A$2:$A$8,0))</f>
        <v>17751</v>
      </c>
      <c r="N15" s="18">
        <f t="shared" si="1"/>
        <v>14.582336618505405</v>
      </c>
      <c r="O15" s="18">
        <f>(Assumptions!$B$4+M15)/F15</f>
        <v>11.713254593175852</v>
      </c>
      <c r="P15" s="15">
        <f t="shared" si="2"/>
        <v>1</v>
      </c>
    </row>
    <row r="16" spans="1:16" x14ac:dyDescent="0.35">
      <c r="A16" s="15" t="s">
        <v>126</v>
      </c>
      <c r="B16" s="15" t="s">
        <v>124</v>
      </c>
      <c r="C16" s="15" t="s">
        <v>78</v>
      </c>
      <c r="D16" s="15" t="s">
        <v>57</v>
      </c>
      <c r="E16" s="15" t="s">
        <v>60</v>
      </c>
      <c r="F16" s="15">
        <v>1956</v>
      </c>
      <c r="G16" s="15">
        <v>179.88</v>
      </c>
      <c r="H16" s="15" t="s">
        <v>107</v>
      </c>
      <c r="I16" s="17">
        <v>44947</v>
      </c>
      <c r="J16" s="18">
        <f>IF(G16="",Assumptions!$B$3,G16)</f>
        <v>179.88</v>
      </c>
      <c r="K16" s="15" t="str">
        <f t="shared" si="0"/>
        <v>No</v>
      </c>
      <c r="L16" s="25" t="str">
        <f>INDEX(Vehicle_Master!$B$2:$B$8,MATCH(B16,Vehicle_Master!$A$2:$A$8,0))</f>
        <v>Truck</v>
      </c>
      <c r="M16" s="25">
        <f>INDEX(Vehicle_Master!$D$2:$D$8,MATCH(B16,Vehicle_Master!$A$2:$A$8,0))</f>
        <v>17751</v>
      </c>
      <c r="N16" s="18">
        <f t="shared" si="1"/>
        <v>10.873915943962642</v>
      </c>
      <c r="O16" s="18">
        <f>(Assumptions!$B$4+M16)/F16</f>
        <v>9.1262781186094077</v>
      </c>
      <c r="P16" s="15">
        <f t="shared" si="2"/>
        <v>1</v>
      </c>
    </row>
    <row r="17" spans="1:16" x14ac:dyDescent="0.35">
      <c r="A17" s="15" t="s">
        <v>127</v>
      </c>
      <c r="B17" s="15" t="s">
        <v>124</v>
      </c>
      <c r="C17" s="15" t="s">
        <v>78</v>
      </c>
      <c r="D17" s="15" t="s">
        <v>56</v>
      </c>
      <c r="E17" s="15" t="s">
        <v>60</v>
      </c>
      <c r="F17" s="15">
        <v>858</v>
      </c>
      <c r="G17" s="26"/>
      <c r="H17" s="15" t="s">
        <v>114</v>
      </c>
      <c r="I17" s="17">
        <v>44944</v>
      </c>
      <c r="J17" s="18">
        <f>IF(G17="",Assumptions!$B$3,G17)</f>
        <v>91.882978723404278</v>
      </c>
      <c r="K17" s="15" t="str">
        <f t="shared" si="0"/>
        <v>Yes</v>
      </c>
      <c r="L17" s="25" t="str">
        <f>INDEX(Vehicle_Master!$B$2:$B$8,MATCH(B17,Vehicle_Master!$A$2:$A$8,0))</f>
        <v>Truck</v>
      </c>
      <c r="M17" s="25">
        <f>INDEX(Vehicle_Master!$D$2:$D$8,MATCH(B17,Vehicle_Master!$A$2:$A$8,0))</f>
        <v>17751</v>
      </c>
      <c r="N17" s="18">
        <f t="shared" si="1"/>
        <v>9.3379645710316055</v>
      </c>
      <c r="O17" s="18">
        <f>(Assumptions!$B$4+M17)/F17</f>
        <v>20.805361305361306</v>
      </c>
      <c r="P17" s="15">
        <f t="shared" si="2"/>
        <v>0</v>
      </c>
    </row>
    <row r="18" spans="1:16" x14ac:dyDescent="0.35">
      <c r="A18" s="15" t="s">
        <v>128</v>
      </c>
      <c r="B18" s="15" t="s">
        <v>116</v>
      </c>
      <c r="C18" s="15" t="s">
        <v>79</v>
      </c>
      <c r="D18" s="15" t="s">
        <v>55</v>
      </c>
      <c r="E18" s="15" t="s">
        <v>57</v>
      </c>
      <c r="F18" s="15">
        <v>1269</v>
      </c>
      <c r="G18" s="15">
        <v>102.91</v>
      </c>
      <c r="H18" s="15" t="s">
        <v>107</v>
      </c>
      <c r="I18" s="17">
        <v>44942</v>
      </c>
      <c r="J18" s="18">
        <f>IF(G18="",Assumptions!$B$3,G18)</f>
        <v>102.91</v>
      </c>
      <c r="K18" s="15" t="str">
        <f t="shared" si="0"/>
        <v>No</v>
      </c>
      <c r="L18" s="25" t="str">
        <f>INDEX(Vehicle_Master!$B$2:$B$8,MATCH(B18,Vehicle_Master!$A$2:$A$8,0))</f>
        <v>Van</v>
      </c>
      <c r="M18" s="25">
        <f>INDEX(Vehicle_Master!$D$2:$D$8,MATCH(B18,Vehicle_Master!$A$2:$A$8,0))</f>
        <v>12837</v>
      </c>
      <c r="N18" s="18">
        <f t="shared" si="1"/>
        <v>12.331163152268973</v>
      </c>
      <c r="O18" s="18">
        <f>(Assumptions!$B$4+M18)/F18</f>
        <v>10.194641449960599</v>
      </c>
      <c r="P18" s="15">
        <f t="shared" si="2"/>
        <v>1</v>
      </c>
    </row>
    <row r="19" spans="1:16" x14ac:dyDescent="0.35">
      <c r="A19" s="15" t="s">
        <v>129</v>
      </c>
      <c r="B19" s="15" t="s">
        <v>116</v>
      </c>
      <c r="C19" s="15" t="s">
        <v>82</v>
      </c>
      <c r="D19" s="15" t="s">
        <v>55</v>
      </c>
      <c r="E19" s="15" t="s">
        <v>54</v>
      </c>
      <c r="F19" s="15">
        <v>1565</v>
      </c>
      <c r="G19" s="15">
        <v>107.23</v>
      </c>
      <c r="H19" s="15" t="s">
        <v>107</v>
      </c>
      <c r="I19" s="17">
        <v>44969</v>
      </c>
      <c r="J19" s="18">
        <f>IF(G19="",Assumptions!$B$3,G19)</f>
        <v>107.23</v>
      </c>
      <c r="K19" s="15" t="str">
        <f t="shared" si="0"/>
        <v>No</v>
      </c>
      <c r="L19" s="25" t="str">
        <f>INDEX(Vehicle_Master!$B$2:$B$8,MATCH(B19,Vehicle_Master!$A$2:$A$8,0))</f>
        <v>Van</v>
      </c>
      <c r="M19" s="25">
        <f>INDEX(Vehicle_Master!$D$2:$D$8,MATCH(B19,Vehicle_Master!$A$2:$A$8,0))</f>
        <v>12837</v>
      </c>
      <c r="N19" s="18">
        <f t="shared" si="1"/>
        <v>14.59479623239765</v>
      </c>
      <c r="O19" s="18">
        <f>(Assumptions!$B$4+M19)/F19</f>
        <v>8.2664536741214061</v>
      </c>
      <c r="P19" s="15">
        <f t="shared" si="2"/>
        <v>1</v>
      </c>
    </row>
    <row r="20" spans="1:16" x14ac:dyDescent="0.35">
      <c r="A20" s="15" t="s">
        <v>130</v>
      </c>
      <c r="B20" s="15" t="s">
        <v>116</v>
      </c>
      <c r="C20" s="15" t="s">
        <v>82</v>
      </c>
      <c r="D20" s="15" t="s">
        <v>58</v>
      </c>
      <c r="E20" s="15" t="s">
        <v>55</v>
      </c>
      <c r="F20" s="15">
        <v>1796</v>
      </c>
      <c r="G20" s="15">
        <v>155.52000000000001</v>
      </c>
      <c r="H20" s="15" t="s">
        <v>107</v>
      </c>
      <c r="I20" s="17">
        <v>44985</v>
      </c>
      <c r="J20" s="18">
        <f>IF(G20="",Assumptions!$B$3,G20)</f>
        <v>155.52000000000001</v>
      </c>
      <c r="K20" s="15" t="str">
        <f t="shared" si="0"/>
        <v>No</v>
      </c>
      <c r="L20" s="25" t="str">
        <f>INDEX(Vehicle_Master!$B$2:$B$8,MATCH(B20,Vehicle_Master!$A$2:$A$8,0))</f>
        <v>Van</v>
      </c>
      <c r="M20" s="25">
        <f>INDEX(Vehicle_Master!$D$2:$D$8,MATCH(B20,Vehicle_Master!$A$2:$A$8,0))</f>
        <v>12837</v>
      </c>
      <c r="N20" s="18">
        <f t="shared" si="1"/>
        <v>11.548353909465019</v>
      </c>
      <c r="O20" s="18">
        <f>(Assumptions!$B$4+M20)/F20</f>
        <v>7.203229398663697</v>
      </c>
      <c r="P20" s="15">
        <f t="shared" si="2"/>
        <v>1</v>
      </c>
    </row>
    <row r="21" spans="1:16" x14ac:dyDescent="0.35">
      <c r="A21" s="15" t="s">
        <v>131</v>
      </c>
      <c r="B21" s="15" t="s">
        <v>106</v>
      </c>
      <c r="C21" s="15" t="s">
        <v>74</v>
      </c>
      <c r="D21" s="15" t="s">
        <v>60</v>
      </c>
      <c r="E21" s="15" t="s">
        <v>56</v>
      </c>
      <c r="F21" s="15">
        <v>1640</v>
      </c>
      <c r="G21" s="15">
        <v>148.87</v>
      </c>
      <c r="H21" s="15" t="s">
        <v>107</v>
      </c>
      <c r="I21" s="17">
        <v>44932</v>
      </c>
      <c r="J21" s="18">
        <f>IF(G21="",Assumptions!$B$3,G21)</f>
        <v>148.87</v>
      </c>
      <c r="K21" s="15" t="str">
        <f t="shared" si="0"/>
        <v>No</v>
      </c>
      <c r="L21" s="25" t="str">
        <f>INDEX(Vehicle_Master!$B$2:$B$8,MATCH(B21,Vehicle_Master!$A$2:$A$8,0))</f>
        <v>Mini-Truck</v>
      </c>
      <c r="M21" s="25">
        <f>INDEX(Vehicle_Master!$D$2:$D$8,MATCH(B21,Vehicle_Master!$A$2:$A$8,0))</f>
        <v>9033</v>
      </c>
      <c r="N21" s="18">
        <f t="shared" si="1"/>
        <v>11.016322966346477</v>
      </c>
      <c r="O21" s="18">
        <f>(Assumptions!$B$4+M21)/F21</f>
        <v>5.5689024390243906</v>
      </c>
      <c r="P21" s="15">
        <f t="shared" si="2"/>
        <v>1</v>
      </c>
    </row>
    <row r="22" spans="1:16" x14ac:dyDescent="0.35">
      <c r="A22" s="15" t="s">
        <v>132</v>
      </c>
      <c r="B22" s="15" t="s">
        <v>116</v>
      </c>
      <c r="C22" s="15" t="s">
        <v>79</v>
      </c>
      <c r="D22" s="15" t="s">
        <v>54</v>
      </c>
      <c r="E22" s="15" t="s">
        <v>60</v>
      </c>
      <c r="F22" s="15">
        <v>446</v>
      </c>
      <c r="G22" s="15">
        <v>31.98</v>
      </c>
      <c r="H22" s="15" t="s">
        <v>114</v>
      </c>
      <c r="I22" s="17">
        <v>44937</v>
      </c>
      <c r="J22" s="18">
        <f>IF(G22="",Assumptions!$B$3,G22)</f>
        <v>31.98</v>
      </c>
      <c r="K22" s="15" t="str">
        <f t="shared" si="0"/>
        <v>No</v>
      </c>
      <c r="L22" s="25" t="str">
        <f>INDEX(Vehicle_Master!$B$2:$B$8,MATCH(B22,Vehicle_Master!$A$2:$A$8,0))</f>
        <v>Van</v>
      </c>
      <c r="M22" s="25">
        <f>INDEX(Vehicle_Master!$D$2:$D$8,MATCH(B22,Vehicle_Master!$A$2:$A$8,0))</f>
        <v>12837</v>
      </c>
      <c r="N22" s="18">
        <f t="shared" si="1"/>
        <v>13.946216385240776</v>
      </c>
      <c r="O22" s="18">
        <f>(Assumptions!$B$4+M22)/F22</f>
        <v>29.006726457399104</v>
      </c>
      <c r="P22" s="15">
        <f t="shared" si="2"/>
        <v>0</v>
      </c>
    </row>
    <row r="23" spans="1:16" x14ac:dyDescent="0.35">
      <c r="A23" s="15" t="s">
        <v>133</v>
      </c>
      <c r="B23" s="15" t="s">
        <v>116</v>
      </c>
      <c r="C23" s="15" t="s">
        <v>81</v>
      </c>
      <c r="D23" s="15" t="s">
        <v>58</v>
      </c>
      <c r="E23" s="15" t="s">
        <v>54</v>
      </c>
      <c r="F23" s="15">
        <v>140</v>
      </c>
      <c r="G23" s="15">
        <v>11.44</v>
      </c>
      <c r="H23" s="15" t="s">
        <v>107</v>
      </c>
      <c r="I23" s="17">
        <v>44964</v>
      </c>
      <c r="J23" s="18">
        <f>IF(G23="",Assumptions!$B$3,G23)</f>
        <v>11.44</v>
      </c>
      <c r="K23" s="15" t="str">
        <f t="shared" si="0"/>
        <v>No</v>
      </c>
      <c r="L23" s="25" t="str">
        <f>INDEX(Vehicle_Master!$B$2:$B$8,MATCH(B23,Vehicle_Master!$A$2:$A$8,0))</f>
        <v>Van</v>
      </c>
      <c r="M23" s="25">
        <f>INDEX(Vehicle_Master!$D$2:$D$8,MATCH(B23,Vehicle_Master!$A$2:$A$8,0))</f>
        <v>12837</v>
      </c>
      <c r="N23" s="18">
        <f t="shared" si="1"/>
        <v>12.237762237762238</v>
      </c>
      <c r="O23" s="18">
        <f>(Assumptions!$B$4+M23)/F23</f>
        <v>92.407142857142858</v>
      </c>
      <c r="P23" s="15">
        <f t="shared" si="2"/>
        <v>1</v>
      </c>
    </row>
    <row r="24" spans="1:16" x14ac:dyDescent="0.35">
      <c r="A24" s="15" t="s">
        <v>134</v>
      </c>
      <c r="B24" s="15" t="s">
        <v>109</v>
      </c>
      <c r="C24" s="15" t="s">
        <v>76</v>
      </c>
      <c r="D24" s="15" t="s">
        <v>59</v>
      </c>
      <c r="E24" s="15" t="s">
        <v>54</v>
      </c>
      <c r="F24" s="15">
        <v>1729</v>
      </c>
      <c r="G24" s="15">
        <v>197.55</v>
      </c>
      <c r="H24" s="15" t="s">
        <v>107</v>
      </c>
      <c r="I24" s="17">
        <v>44963</v>
      </c>
      <c r="J24" s="18">
        <f>IF(G24="",Assumptions!$B$3,G24)</f>
        <v>197.55</v>
      </c>
      <c r="K24" s="15" t="str">
        <f t="shared" si="0"/>
        <v>No</v>
      </c>
      <c r="L24" s="25" t="str">
        <f>INDEX(Vehicle_Master!$B$2:$B$8,MATCH(B24,Vehicle_Master!$A$2:$A$8,0))</f>
        <v>Van</v>
      </c>
      <c r="M24" s="25">
        <f>INDEX(Vehicle_Master!$D$2:$D$8,MATCH(B24,Vehicle_Master!$A$2:$A$8,0))</f>
        <v>5914</v>
      </c>
      <c r="N24" s="18">
        <f t="shared" si="1"/>
        <v>8.7522146292077956</v>
      </c>
      <c r="O24" s="18">
        <f>(Assumptions!$B$4+M24)/F24</f>
        <v>3.4783111625216887</v>
      </c>
      <c r="P24" s="15">
        <f t="shared" si="2"/>
        <v>1</v>
      </c>
    </row>
    <row r="25" spans="1:16" x14ac:dyDescent="0.35">
      <c r="A25" s="15" t="s">
        <v>135</v>
      </c>
      <c r="B25" s="15" t="s">
        <v>106</v>
      </c>
      <c r="C25" s="15" t="s">
        <v>73</v>
      </c>
      <c r="D25" s="15" t="s">
        <v>57</v>
      </c>
      <c r="E25" s="15" t="s">
        <v>60</v>
      </c>
      <c r="F25" s="15">
        <v>1376</v>
      </c>
      <c r="G25" s="15">
        <v>96.63</v>
      </c>
      <c r="H25" s="15" t="s">
        <v>107</v>
      </c>
      <c r="I25" s="17">
        <v>44971</v>
      </c>
      <c r="J25" s="18">
        <f>IF(G25="",Assumptions!$B$3,G25)</f>
        <v>96.63</v>
      </c>
      <c r="K25" s="15" t="str">
        <f t="shared" si="0"/>
        <v>No</v>
      </c>
      <c r="L25" s="25" t="str">
        <f>INDEX(Vehicle_Master!$B$2:$B$8,MATCH(B25,Vehicle_Master!$A$2:$A$8,0))</f>
        <v>Mini-Truck</v>
      </c>
      <c r="M25" s="25">
        <f>INDEX(Vehicle_Master!$D$2:$D$8,MATCH(B25,Vehicle_Master!$A$2:$A$8,0))</f>
        <v>9033</v>
      </c>
      <c r="N25" s="18">
        <f t="shared" si="1"/>
        <v>14.239884093966678</v>
      </c>
      <c r="O25" s="18">
        <f>(Assumptions!$B$4+M25)/F25</f>
        <v>6.6373546511627906</v>
      </c>
      <c r="P25" s="15">
        <f t="shared" si="2"/>
        <v>1</v>
      </c>
    </row>
    <row r="26" spans="1:16" x14ac:dyDescent="0.35">
      <c r="A26" s="15" t="s">
        <v>136</v>
      </c>
      <c r="B26" s="15" t="s">
        <v>106</v>
      </c>
      <c r="C26" s="15" t="s">
        <v>74</v>
      </c>
      <c r="D26" s="15" t="s">
        <v>56</v>
      </c>
      <c r="E26" s="15" t="s">
        <v>59</v>
      </c>
      <c r="F26" s="15">
        <v>1721</v>
      </c>
      <c r="G26" s="15">
        <v>120.65</v>
      </c>
      <c r="H26" s="15" t="s">
        <v>114</v>
      </c>
      <c r="I26" s="17">
        <v>44963</v>
      </c>
      <c r="J26" s="18">
        <f>IF(G26="",Assumptions!$B$3,G26)</f>
        <v>120.65</v>
      </c>
      <c r="K26" s="15" t="str">
        <f t="shared" si="0"/>
        <v>No</v>
      </c>
      <c r="L26" s="25" t="str">
        <f>INDEX(Vehicle_Master!$B$2:$B$8,MATCH(B26,Vehicle_Master!$A$2:$A$8,0))</f>
        <v>Mini-Truck</v>
      </c>
      <c r="M26" s="25">
        <f>INDEX(Vehicle_Master!$D$2:$D$8,MATCH(B26,Vehicle_Master!$A$2:$A$8,0))</f>
        <v>9033</v>
      </c>
      <c r="N26" s="18">
        <f t="shared" si="1"/>
        <v>14.264401160381267</v>
      </c>
      <c r="O26" s="18">
        <f>(Assumptions!$B$4+M26)/F26</f>
        <v>5.306798373038931</v>
      </c>
      <c r="P26" s="15">
        <f t="shared" si="2"/>
        <v>0</v>
      </c>
    </row>
    <row r="27" spans="1:16" x14ac:dyDescent="0.35">
      <c r="A27" s="15" t="s">
        <v>137</v>
      </c>
      <c r="B27" s="15" t="s">
        <v>124</v>
      </c>
      <c r="C27" s="15" t="s">
        <v>76</v>
      </c>
      <c r="D27" s="15" t="s">
        <v>59</v>
      </c>
      <c r="E27" s="15" t="s">
        <v>55</v>
      </c>
      <c r="F27" s="15">
        <v>1784</v>
      </c>
      <c r="G27" s="26"/>
      <c r="H27" s="15" t="s">
        <v>114</v>
      </c>
      <c r="I27" s="17">
        <v>44943</v>
      </c>
      <c r="J27" s="18">
        <f>IF(G27="",Assumptions!$B$3,G27)</f>
        <v>91.882978723404278</v>
      </c>
      <c r="K27" s="15" t="str">
        <f t="shared" si="0"/>
        <v>Yes</v>
      </c>
      <c r="L27" s="25" t="str">
        <f>INDEX(Vehicle_Master!$B$2:$B$8,MATCH(B27,Vehicle_Master!$A$2:$A$8,0))</f>
        <v>Truck</v>
      </c>
      <c r="M27" s="25">
        <f>INDEX(Vehicle_Master!$D$2:$D$8,MATCH(B27,Vehicle_Master!$A$2:$A$8,0))</f>
        <v>17751</v>
      </c>
      <c r="N27" s="18">
        <f t="shared" si="1"/>
        <v>19.416000926247534</v>
      </c>
      <c r="O27" s="18">
        <f>(Assumptions!$B$4+M27)/F27</f>
        <v>10.006165919282511</v>
      </c>
      <c r="P27" s="15">
        <f t="shared" si="2"/>
        <v>0</v>
      </c>
    </row>
    <row r="28" spans="1:16" x14ac:dyDescent="0.35">
      <c r="A28" s="15" t="s">
        <v>138</v>
      </c>
      <c r="B28" s="15" t="s">
        <v>109</v>
      </c>
      <c r="C28" s="15" t="s">
        <v>79</v>
      </c>
      <c r="D28" s="15" t="s">
        <v>55</v>
      </c>
      <c r="E28" s="15" t="s">
        <v>57</v>
      </c>
      <c r="F28" s="15">
        <v>1007</v>
      </c>
      <c r="G28" s="15">
        <v>116.6</v>
      </c>
      <c r="H28" s="15" t="s">
        <v>114</v>
      </c>
      <c r="I28" s="17">
        <v>44974</v>
      </c>
      <c r="J28" s="18">
        <f>IF(G28="",Assumptions!$B$3,G28)</f>
        <v>116.6</v>
      </c>
      <c r="K28" s="15" t="str">
        <f t="shared" si="0"/>
        <v>No</v>
      </c>
      <c r="L28" s="25" t="str">
        <f>INDEX(Vehicle_Master!$B$2:$B$8,MATCH(B28,Vehicle_Master!$A$2:$A$8,0))</f>
        <v>Van</v>
      </c>
      <c r="M28" s="25">
        <f>INDEX(Vehicle_Master!$D$2:$D$8,MATCH(B28,Vehicle_Master!$A$2:$A$8,0))</f>
        <v>5914</v>
      </c>
      <c r="N28" s="18">
        <f t="shared" si="1"/>
        <v>8.6363636363636367</v>
      </c>
      <c r="O28" s="18">
        <f>(Assumptions!$B$4+M28)/F28</f>
        <v>5.972194637537239</v>
      </c>
      <c r="P28" s="15">
        <f t="shared" si="2"/>
        <v>0</v>
      </c>
    </row>
    <row r="29" spans="1:16" x14ac:dyDescent="0.35">
      <c r="A29" s="15" t="s">
        <v>139</v>
      </c>
      <c r="B29" s="15" t="s">
        <v>124</v>
      </c>
      <c r="C29" s="15" t="s">
        <v>78</v>
      </c>
      <c r="D29" s="15" t="s">
        <v>55</v>
      </c>
      <c r="E29" s="15" t="s">
        <v>56</v>
      </c>
      <c r="F29" s="15">
        <v>1903</v>
      </c>
      <c r="G29" s="15">
        <v>151.18</v>
      </c>
      <c r="H29" s="15" t="s">
        <v>114</v>
      </c>
      <c r="I29" s="17">
        <v>44977</v>
      </c>
      <c r="J29" s="18">
        <f>IF(G29="",Assumptions!$B$3,G29)</f>
        <v>151.18</v>
      </c>
      <c r="K29" s="15" t="str">
        <f t="shared" si="0"/>
        <v>No</v>
      </c>
      <c r="L29" s="25" t="str">
        <f>INDEX(Vehicle_Master!$B$2:$B$8,MATCH(B29,Vehicle_Master!$A$2:$A$8,0))</f>
        <v>Truck</v>
      </c>
      <c r="M29" s="25">
        <f>INDEX(Vehicle_Master!$D$2:$D$8,MATCH(B29,Vehicle_Master!$A$2:$A$8,0))</f>
        <v>17751</v>
      </c>
      <c r="N29" s="18">
        <f t="shared" si="1"/>
        <v>12.587643868236539</v>
      </c>
      <c r="O29" s="18">
        <f>(Assumptions!$B$4+M29)/F29</f>
        <v>9.380451918024173</v>
      </c>
      <c r="P29" s="15">
        <f t="shared" si="2"/>
        <v>0</v>
      </c>
    </row>
    <row r="30" spans="1:16" x14ac:dyDescent="0.35">
      <c r="A30" s="15" t="s">
        <v>140</v>
      </c>
      <c r="B30" s="15" t="s">
        <v>141</v>
      </c>
      <c r="C30" s="15" t="s">
        <v>78</v>
      </c>
      <c r="D30" s="15" t="s">
        <v>60</v>
      </c>
      <c r="E30" s="15" t="s">
        <v>56</v>
      </c>
      <c r="F30" s="15">
        <v>1262</v>
      </c>
      <c r="G30" s="15">
        <v>100.72</v>
      </c>
      <c r="H30" s="15" t="s">
        <v>107</v>
      </c>
      <c r="I30" s="17">
        <v>44954</v>
      </c>
      <c r="J30" s="18">
        <f>IF(G30="",Assumptions!$B$3,G30)</f>
        <v>100.72</v>
      </c>
      <c r="K30" s="15" t="str">
        <f t="shared" si="0"/>
        <v>No</v>
      </c>
      <c r="L30" s="25" t="str">
        <f>INDEX(Vehicle_Master!$B$2:$B$8,MATCH(B30,Vehicle_Master!$A$2:$A$8,0))</f>
        <v>Van</v>
      </c>
      <c r="M30" s="25">
        <f>INDEX(Vehicle_Master!$D$2:$D$8,MATCH(B30,Vehicle_Master!$A$2:$A$8,0))</f>
        <v>5633</v>
      </c>
      <c r="N30" s="18">
        <f t="shared" si="1"/>
        <v>12.529785544082605</v>
      </c>
      <c r="O30" s="18">
        <f>(Assumptions!$B$4+M30)/F30</f>
        <v>4.5427892234548333</v>
      </c>
      <c r="P30" s="15">
        <f t="shared" si="2"/>
        <v>1</v>
      </c>
    </row>
    <row r="31" spans="1:16" x14ac:dyDescent="0.35">
      <c r="A31" s="15" t="s">
        <v>142</v>
      </c>
      <c r="B31" s="15" t="s">
        <v>118</v>
      </c>
      <c r="C31" s="15" t="s">
        <v>81</v>
      </c>
      <c r="D31" s="15" t="s">
        <v>57</v>
      </c>
      <c r="E31" s="15" t="s">
        <v>58</v>
      </c>
      <c r="F31" s="15">
        <v>317</v>
      </c>
      <c r="G31" s="15">
        <v>28.83</v>
      </c>
      <c r="H31" s="15" t="s">
        <v>107</v>
      </c>
      <c r="I31" s="17">
        <v>44985</v>
      </c>
      <c r="J31" s="18">
        <f>IF(G31="",Assumptions!$B$3,G31)</f>
        <v>28.83</v>
      </c>
      <c r="K31" s="15" t="str">
        <f t="shared" si="0"/>
        <v>No</v>
      </c>
      <c r="L31" s="25" t="str">
        <f>INDEX(Vehicle_Master!$B$2:$B$8,MATCH(B31,Vehicle_Master!$A$2:$A$8,0))</f>
        <v>Truck</v>
      </c>
      <c r="M31" s="25">
        <f>INDEX(Vehicle_Master!$D$2:$D$8,MATCH(B31,Vehicle_Master!$A$2:$A$8,0))</f>
        <v>6776</v>
      </c>
      <c r="N31" s="18">
        <f t="shared" si="1"/>
        <v>10.995490808185918</v>
      </c>
      <c r="O31" s="18">
        <f>(Assumptions!$B$4+M31)/F31</f>
        <v>21.690851735015773</v>
      </c>
      <c r="P31" s="15">
        <f t="shared" si="2"/>
        <v>1</v>
      </c>
    </row>
    <row r="32" spans="1:16" x14ac:dyDescent="0.35">
      <c r="A32" s="15" t="s">
        <v>143</v>
      </c>
      <c r="B32" s="15" t="s">
        <v>124</v>
      </c>
      <c r="C32" s="15" t="s">
        <v>76</v>
      </c>
      <c r="D32" s="15" t="s">
        <v>58</v>
      </c>
      <c r="E32" s="15" t="s">
        <v>54</v>
      </c>
      <c r="F32" s="15">
        <v>1188</v>
      </c>
      <c r="G32" s="15">
        <v>92.84</v>
      </c>
      <c r="H32" s="15" t="s">
        <v>107</v>
      </c>
      <c r="I32" s="17">
        <v>44960</v>
      </c>
      <c r="J32" s="18">
        <f>IF(G32="",Assumptions!$B$3,G32)</f>
        <v>92.84</v>
      </c>
      <c r="K32" s="15" t="str">
        <f t="shared" si="0"/>
        <v>No</v>
      </c>
      <c r="L32" s="25" t="str">
        <f>INDEX(Vehicle_Master!$B$2:$B$8,MATCH(B32,Vehicle_Master!$A$2:$A$8,0))</f>
        <v>Truck</v>
      </c>
      <c r="M32" s="25">
        <f>INDEX(Vehicle_Master!$D$2:$D$8,MATCH(B32,Vehicle_Master!$A$2:$A$8,0))</f>
        <v>17751</v>
      </c>
      <c r="N32" s="18">
        <f t="shared" si="1"/>
        <v>12.796208530805687</v>
      </c>
      <c r="O32" s="18">
        <f>(Assumptions!$B$4+M32)/F32</f>
        <v>15.026094276094277</v>
      </c>
      <c r="P32" s="15">
        <f t="shared" si="2"/>
        <v>1</v>
      </c>
    </row>
    <row r="33" spans="1:16" x14ac:dyDescent="0.35">
      <c r="A33" s="15" t="s">
        <v>144</v>
      </c>
      <c r="B33" s="15" t="s">
        <v>141</v>
      </c>
      <c r="C33" s="15" t="s">
        <v>82</v>
      </c>
      <c r="D33" s="15" t="s">
        <v>58</v>
      </c>
      <c r="E33" s="15" t="s">
        <v>57</v>
      </c>
      <c r="F33" s="15">
        <v>398</v>
      </c>
      <c r="G33" s="15">
        <v>43.89</v>
      </c>
      <c r="H33" s="15" t="s">
        <v>114</v>
      </c>
      <c r="I33" s="17">
        <v>44962</v>
      </c>
      <c r="J33" s="18">
        <f>IF(G33="",Assumptions!$B$3,G33)</f>
        <v>43.89</v>
      </c>
      <c r="K33" s="15" t="str">
        <f t="shared" si="0"/>
        <v>No</v>
      </c>
      <c r="L33" s="25" t="str">
        <f>INDEX(Vehicle_Master!$B$2:$B$8,MATCH(B33,Vehicle_Master!$A$2:$A$8,0))</f>
        <v>Van</v>
      </c>
      <c r="M33" s="25">
        <f>INDEX(Vehicle_Master!$D$2:$D$8,MATCH(B33,Vehicle_Master!$A$2:$A$8,0))</f>
        <v>5633</v>
      </c>
      <c r="N33" s="18">
        <f t="shared" si="1"/>
        <v>9.0681248575985425</v>
      </c>
      <c r="O33" s="18">
        <f>(Assumptions!$B$4+M33)/F33</f>
        <v>14.404522613065327</v>
      </c>
      <c r="P33" s="15">
        <f t="shared" si="2"/>
        <v>0</v>
      </c>
    </row>
    <row r="34" spans="1:16" x14ac:dyDescent="0.35">
      <c r="A34" s="15" t="s">
        <v>145</v>
      </c>
      <c r="B34" s="15" t="s">
        <v>124</v>
      </c>
      <c r="C34" s="15" t="s">
        <v>81</v>
      </c>
      <c r="D34" s="15" t="s">
        <v>58</v>
      </c>
      <c r="E34" s="15" t="s">
        <v>59</v>
      </c>
      <c r="F34" s="15">
        <v>385</v>
      </c>
      <c r="G34" s="15">
        <v>31.03</v>
      </c>
      <c r="H34" s="15" t="s">
        <v>114</v>
      </c>
      <c r="I34" s="17">
        <v>44950</v>
      </c>
      <c r="J34" s="18">
        <f>IF(G34="",Assumptions!$B$3,G34)</f>
        <v>31.03</v>
      </c>
      <c r="K34" s="15" t="str">
        <f t="shared" ref="K34:K51" si="3">IF(G34="","Yes","No")</f>
        <v>No</v>
      </c>
      <c r="L34" s="25" t="str">
        <f>INDEX(Vehicle_Master!$B$2:$B$8,MATCH(B34,Vehicle_Master!$A$2:$A$8,0))</f>
        <v>Truck</v>
      </c>
      <c r="M34" s="25">
        <f>INDEX(Vehicle_Master!$D$2:$D$8,MATCH(B34,Vehicle_Master!$A$2:$A$8,0))</f>
        <v>17751</v>
      </c>
      <c r="N34" s="18">
        <f t="shared" ref="N34:N51" si="4">F34/J34</f>
        <v>12.407347728005156</v>
      </c>
      <c r="O34" s="18">
        <f>(Assumptions!$B$4+M34)/F34</f>
        <v>46.366233766233769</v>
      </c>
      <c r="P34" s="15">
        <f t="shared" ref="P34:P51" si="5">IF(H34="On-Time",1,0)</f>
        <v>0</v>
      </c>
    </row>
    <row r="35" spans="1:16" x14ac:dyDescent="0.35">
      <c r="A35" s="15" t="s">
        <v>146</v>
      </c>
      <c r="B35" s="15" t="s">
        <v>118</v>
      </c>
      <c r="C35" s="15" t="s">
        <v>82</v>
      </c>
      <c r="D35" s="15" t="s">
        <v>54</v>
      </c>
      <c r="E35" s="15" t="s">
        <v>58</v>
      </c>
      <c r="F35" s="15">
        <v>818</v>
      </c>
      <c r="G35" s="15">
        <v>94.24</v>
      </c>
      <c r="H35" s="15" t="s">
        <v>114</v>
      </c>
      <c r="I35" s="17">
        <v>44975</v>
      </c>
      <c r="J35" s="18">
        <f>IF(G35="",Assumptions!$B$3,G35)</f>
        <v>94.24</v>
      </c>
      <c r="K35" s="15" t="str">
        <f t="shared" si="3"/>
        <v>No</v>
      </c>
      <c r="L35" s="25" t="str">
        <f>INDEX(Vehicle_Master!$B$2:$B$8,MATCH(B35,Vehicle_Master!$A$2:$A$8,0))</f>
        <v>Truck</v>
      </c>
      <c r="M35" s="25">
        <f>INDEX(Vehicle_Master!$D$2:$D$8,MATCH(B35,Vehicle_Master!$A$2:$A$8,0))</f>
        <v>6776</v>
      </c>
      <c r="N35" s="18">
        <f t="shared" si="4"/>
        <v>8.6799660441426152</v>
      </c>
      <c r="O35" s="18">
        <f>(Assumptions!$B$4+M35)/F35</f>
        <v>8.4058679706601467</v>
      </c>
      <c r="P35" s="15">
        <f t="shared" si="5"/>
        <v>0</v>
      </c>
    </row>
    <row r="36" spans="1:16" x14ac:dyDescent="0.35">
      <c r="A36" s="15" t="s">
        <v>147</v>
      </c>
      <c r="B36" s="15" t="s">
        <v>106</v>
      </c>
      <c r="C36" s="15" t="s">
        <v>76</v>
      </c>
      <c r="D36" s="15" t="s">
        <v>54</v>
      </c>
      <c r="E36" s="15" t="s">
        <v>57</v>
      </c>
      <c r="F36" s="15">
        <v>1806</v>
      </c>
      <c r="G36" s="15">
        <v>121.36</v>
      </c>
      <c r="H36" s="15" t="s">
        <v>107</v>
      </c>
      <c r="I36" s="17">
        <v>44967</v>
      </c>
      <c r="J36" s="18">
        <f>IF(G36="",Assumptions!$B$3,G36)</f>
        <v>121.36</v>
      </c>
      <c r="K36" s="15" t="str">
        <f t="shared" si="3"/>
        <v>No</v>
      </c>
      <c r="L36" s="25" t="str">
        <f>INDEX(Vehicle_Master!$B$2:$B$8,MATCH(B36,Vehicle_Master!$A$2:$A$8,0))</f>
        <v>Mini-Truck</v>
      </c>
      <c r="M36" s="25">
        <f>INDEX(Vehicle_Master!$D$2:$D$8,MATCH(B36,Vehicle_Master!$A$2:$A$8,0))</f>
        <v>9033</v>
      </c>
      <c r="N36" s="18">
        <f t="shared" si="4"/>
        <v>14.88134475939354</v>
      </c>
      <c r="O36" s="18">
        <f>(Assumptions!$B$4+M36)/F36</f>
        <v>5.0570321151716504</v>
      </c>
      <c r="P36" s="15">
        <f t="shared" si="5"/>
        <v>1</v>
      </c>
    </row>
    <row r="37" spans="1:16" x14ac:dyDescent="0.35">
      <c r="A37" s="15" t="s">
        <v>148</v>
      </c>
      <c r="B37" s="15" t="s">
        <v>118</v>
      </c>
      <c r="C37" s="15" t="s">
        <v>82</v>
      </c>
      <c r="D37" s="15" t="s">
        <v>54</v>
      </c>
      <c r="E37" s="15" t="s">
        <v>55</v>
      </c>
      <c r="F37" s="15">
        <v>424</v>
      </c>
      <c r="G37" s="15">
        <v>37.630000000000003</v>
      </c>
      <c r="H37" s="15" t="s">
        <v>107</v>
      </c>
      <c r="I37" s="17">
        <v>44975</v>
      </c>
      <c r="J37" s="18">
        <f>IF(G37="",Assumptions!$B$3,G37)</f>
        <v>37.630000000000003</v>
      </c>
      <c r="K37" s="15" t="str">
        <f t="shared" si="3"/>
        <v>No</v>
      </c>
      <c r="L37" s="25" t="str">
        <f>INDEX(Vehicle_Master!$B$2:$B$8,MATCH(B37,Vehicle_Master!$A$2:$A$8,0))</f>
        <v>Truck</v>
      </c>
      <c r="M37" s="25">
        <f>INDEX(Vehicle_Master!$D$2:$D$8,MATCH(B37,Vehicle_Master!$A$2:$A$8,0))</f>
        <v>6776</v>
      </c>
      <c r="N37" s="18">
        <f t="shared" si="4"/>
        <v>11.267605633802816</v>
      </c>
      <c r="O37" s="18">
        <f>(Assumptions!$B$4+M37)/F37</f>
        <v>16.216981132075471</v>
      </c>
      <c r="P37" s="15">
        <f t="shared" si="5"/>
        <v>1</v>
      </c>
    </row>
    <row r="38" spans="1:16" x14ac:dyDescent="0.35">
      <c r="A38" s="15" t="s">
        <v>149</v>
      </c>
      <c r="B38" s="15" t="s">
        <v>109</v>
      </c>
      <c r="C38" s="15" t="s">
        <v>73</v>
      </c>
      <c r="D38" s="15" t="s">
        <v>54</v>
      </c>
      <c r="E38" s="15" t="s">
        <v>56</v>
      </c>
      <c r="F38" s="15">
        <v>909</v>
      </c>
      <c r="G38" s="15">
        <v>70.400000000000006</v>
      </c>
      <c r="H38" s="15" t="s">
        <v>107</v>
      </c>
      <c r="I38" s="17">
        <v>44944</v>
      </c>
      <c r="J38" s="18">
        <f>IF(G38="",Assumptions!$B$3,G38)</f>
        <v>70.400000000000006</v>
      </c>
      <c r="K38" s="15" t="str">
        <f t="shared" si="3"/>
        <v>No</v>
      </c>
      <c r="L38" s="25" t="str">
        <f>INDEX(Vehicle_Master!$B$2:$B$8,MATCH(B38,Vehicle_Master!$A$2:$A$8,0))</f>
        <v>Van</v>
      </c>
      <c r="M38" s="25">
        <f>INDEX(Vehicle_Master!$D$2:$D$8,MATCH(B38,Vehicle_Master!$A$2:$A$8,0))</f>
        <v>5914</v>
      </c>
      <c r="N38" s="18">
        <f t="shared" si="4"/>
        <v>12.911931818181817</v>
      </c>
      <c r="O38" s="18">
        <f>(Assumptions!$B$4+M38)/F38</f>
        <v>6.6160616061606161</v>
      </c>
      <c r="P38" s="15">
        <f t="shared" si="5"/>
        <v>1</v>
      </c>
    </row>
    <row r="39" spans="1:16" x14ac:dyDescent="0.35">
      <c r="A39" s="15" t="s">
        <v>150</v>
      </c>
      <c r="B39" s="15" t="s">
        <v>151</v>
      </c>
      <c r="C39" s="15" t="s">
        <v>78</v>
      </c>
      <c r="D39" s="15" t="s">
        <v>56</v>
      </c>
      <c r="E39" s="15" t="s">
        <v>60</v>
      </c>
      <c r="F39" s="15">
        <v>1404</v>
      </c>
      <c r="G39" s="15">
        <v>151.36000000000001</v>
      </c>
      <c r="H39" s="15" t="s">
        <v>114</v>
      </c>
      <c r="I39" s="17">
        <v>44981</v>
      </c>
      <c r="J39" s="18">
        <f>IF(G39="",Assumptions!$B$3,G39)</f>
        <v>151.36000000000001</v>
      </c>
      <c r="K39" s="15" t="str">
        <f t="shared" si="3"/>
        <v>No</v>
      </c>
      <c r="L39" s="25" t="str">
        <f>INDEX(Vehicle_Master!$B$2:$B$8,MATCH(B39,Vehicle_Master!$A$2:$A$8,0))</f>
        <v>Truck</v>
      </c>
      <c r="M39" s="25">
        <f>INDEX(Vehicle_Master!$D$2:$D$8,MATCH(B39,Vehicle_Master!$A$2:$A$8,0))</f>
        <v>18031</v>
      </c>
      <c r="N39" s="18">
        <f t="shared" si="4"/>
        <v>9.2758985200845654</v>
      </c>
      <c r="O39" s="18">
        <f>(Assumptions!$B$4+M39)/F39</f>
        <v>12.913817663817664</v>
      </c>
      <c r="P39" s="15">
        <f t="shared" si="5"/>
        <v>0</v>
      </c>
    </row>
    <row r="40" spans="1:16" x14ac:dyDescent="0.35">
      <c r="A40" s="15" t="s">
        <v>152</v>
      </c>
      <c r="B40" s="15" t="s">
        <v>151</v>
      </c>
      <c r="C40" s="15" t="s">
        <v>75</v>
      </c>
      <c r="D40" s="15" t="s">
        <v>56</v>
      </c>
      <c r="E40" s="15" t="s">
        <v>55</v>
      </c>
      <c r="F40" s="15">
        <v>555</v>
      </c>
      <c r="G40" s="15">
        <v>37.39</v>
      </c>
      <c r="H40" s="15" t="s">
        <v>107</v>
      </c>
      <c r="I40" s="17">
        <v>44937</v>
      </c>
      <c r="J40" s="18">
        <f>IF(G40="",Assumptions!$B$3,G40)</f>
        <v>37.39</v>
      </c>
      <c r="K40" s="15" t="str">
        <f t="shared" si="3"/>
        <v>No</v>
      </c>
      <c r="L40" s="25" t="str">
        <f>INDEX(Vehicle_Master!$B$2:$B$8,MATCH(B40,Vehicle_Master!$A$2:$A$8,0))</f>
        <v>Truck</v>
      </c>
      <c r="M40" s="25">
        <f>INDEX(Vehicle_Master!$D$2:$D$8,MATCH(B40,Vehicle_Master!$A$2:$A$8,0))</f>
        <v>18031</v>
      </c>
      <c r="N40" s="18">
        <f t="shared" si="4"/>
        <v>14.843541053757688</v>
      </c>
      <c r="O40" s="18">
        <f>(Assumptions!$B$4+M40)/F40</f>
        <v>32.668468468468468</v>
      </c>
      <c r="P40" s="15">
        <f t="shared" si="5"/>
        <v>1</v>
      </c>
    </row>
    <row r="41" spans="1:16" x14ac:dyDescent="0.35">
      <c r="A41" s="15" t="s">
        <v>153</v>
      </c>
      <c r="B41" s="15" t="s">
        <v>141</v>
      </c>
      <c r="C41" s="15" t="s">
        <v>80</v>
      </c>
      <c r="D41" s="15" t="s">
        <v>58</v>
      </c>
      <c r="E41" s="15" t="s">
        <v>57</v>
      </c>
      <c r="F41" s="15">
        <v>705</v>
      </c>
      <c r="G41" s="15">
        <v>62.94</v>
      </c>
      <c r="H41" s="15" t="s">
        <v>114</v>
      </c>
      <c r="I41" s="17">
        <v>44938</v>
      </c>
      <c r="J41" s="18">
        <f>IF(G41="",Assumptions!$B$3,G41)</f>
        <v>62.94</v>
      </c>
      <c r="K41" s="15" t="str">
        <f t="shared" si="3"/>
        <v>No</v>
      </c>
      <c r="L41" s="25" t="str">
        <f>INDEX(Vehicle_Master!$B$2:$B$8,MATCH(B41,Vehicle_Master!$A$2:$A$8,0))</f>
        <v>Van</v>
      </c>
      <c r="M41" s="25">
        <f>INDEX(Vehicle_Master!$D$2:$D$8,MATCH(B41,Vehicle_Master!$A$2:$A$8,0))</f>
        <v>5633</v>
      </c>
      <c r="N41" s="18">
        <f t="shared" si="4"/>
        <v>11.201143946615826</v>
      </c>
      <c r="O41" s="18">
        <f>(Assumptions!$B$4+M41)/F41</f>
        <v>8.1319148936170205</v>
      </c>
      <c r="P41" s="15">
        <f t="shared" si="5"/>
        <v>0</v>
      </c>
    </row>
    <row r="42" spans="1:16" x14ac:dyDescent="0.35">
      <c r="A42" s="15" t="s">
        <v>154</v>
      </c>
      <c r="B42" s="15" t="s">
        <v>109</v>
      </c>
      <c r="C42" s="15" t="s">
        <v>73</v>
      </c>
      <c r="D42" s="15" t="s">
        <v>58</v>
      </c>
      <c r="E42" s="15" t="s">
        <v>54</v>
      </c>
      <c r="F42" s="15">
        <v>64</v>
      </c>
      <c r="G42" s="15">
        <v>4.96</v>
      </c>
      <c r="H42" s="15" t="s">
        <v>114</v>
      </c>
      <c r="I42" s="17">
        <v>44952</v>
      </c>
      <c r="J42" s="18">
        <f>IF(G42="",Assumptions!$B$3,G42)</f>
        <v>4.96</v>
      </c>
      <c r="K42" s="15" t="str">
        <f t="shared" si="3"/>
        <v>No</v>
      </c>
      <c r="L42" s="25" t="str">
        <f>INDEX(Vehicle_Master!$B$2:$B$8,MATCH(B42,Vehicle_Master!$A$2:$A$8,0))</f>
        <v>Van</v>
      </c>
      <c r="M42" s="25">
        <f>INDEX(Vehicle_Master!$D$2:$D$8,MATCH(B42,Vehicle_Master!$A$2:$A$8,0))</f>
        <v>5914</v>
      </c>
      <c r="N42" s="18">
        <f t="shared" si="4"/>
        <v>12.903225806451614</v>
      </c>
      <c r="O42" s="18">
        <f>(Assumptions!$B$4+M42)/F42</f>
        <v>93.96875</v>
      </c>
      <c r="P42" s="15">
        <f t="shared" si="5"/>
        <v>0</v>
      </c>
    </row>
    <row r="43" spans="1:16" x14ac:dyDescent="0.35">
      <c r="A43" s="15" t="s">
        <v>155</v>
      </c>
      <c r="B43" s="15" t="s">
        <v>124</v>
      </c>
      <c r="C43" s="15" t="s">
        <v>75</v>
      </c>
      <c r="D43" s="15" t="s">
        <v>58</v>
      </c>
      <c r="E43" s="15" t="s">
        <v>59</v>
      </c>
      <c r="F43" s="15">
        <v>1245</v>
      </c>
      <c r="G43" s="15">
        <v>95.14</v>
      </c>
      <c r="H43" s="15" t="s">
        <v>107</v>
      </c>
      <c r="I43" s="17">
        <v>44967</v>
      </c>
      <c r="J43" s="18">
        <f>IF(G43="",Assumptions!$B$3,G43)</f>
        <v>95.14</v>
      </c>
      <c r="K43" s="15" t="str">
        <f t="shared" si="3"/>
        <v>No</v>
      </c>
      <c r="L43" s="25" t="str">
        <f>INDEX(Vehicle_Master!$B$2:$B$8,MATCH(B43,Vehicle_Master!$A$2:$A$8,0))</f>
        <v>Truck</v>
      </c>
      <c r="M43" s="25">
        <f>INDEX(Vehicle_Master!$D$2:$D$8,MATCH(B43,Vehicle_Master!$A$2:$A$8,0))</f>
        <v>17751</v>
      </c>
      <c r="N43" s="18">
        <f t="shared" si="4"/>
        <v>13.085978557914652</v>
      </c>
      <c r="O43" s="18">
        <f>(Assumptions!$B$4+M43)/F43</f>
        <v>14.338152610441767</v>
      </c>
      <c r="P43" s="15">
        <f t="shared" si="5"/>
        <v>1</v>
      </c>
    </row>
    <row r="44" spans="1:16" x14ac:dyDescent="0.35">
      <c r="A44" s="15" t="s">
        <v>156</v>
      </c>
      <c r="B44" s="15" t="s">
        <v>109</v>
      </c>
      <c r="C44" s="15" t="s">
        <v>78</v>
      </c>
      <c r="D44" s="15" t="s">
        <v>58</v>
      </c>
      <c r="E44" s="15" t="s">
        <v>56</v>
      </c>
      <c r="F44" s="15">
        <v>116</v>
      </c>
      <c r="G44" s="15">
        <v>8.7100000000000009</v>
      </c>
      <c r="H44" s="15" t="s">
        <v>114</v>
      </c>
      <c r="I44" s="17">
        <v>44932</v>
      </c>
      <c r="J44" s="18">
        <f>IF(G44="",Assumptions!$B$3,G44)</f>
        <v>8.7100000000000009</v>
      </c>
      <c r="K44" s="15" t="str">
        <f t="shared" si="3"/>
        <v>No</v>
      </c>
      <c r="L44" s="25" t="str">
        <f>INDEX(Vehicle_Master!$B$2:$B$8,MATCH(B44,Vehicle_Master!$A$2:$A$8,0))</f>
        <v>Van</v>
      </c>
      <c r="M44" s="25">
        <f>INDEX(Vehicle_Master!$D$2:$D$8,MATCH(B44,Vehicle_Master!$A$2:$A$8,0))</f>
        <v>5914</v>
      </c>
      <c r="N44" s="18">
        <f t="shared" si="4"/>
        <v>13.318025258323765</v>
      </c>
      <c r="O44" s="18">
        <f>(Assumptions!$B$4+M44)/F44</f>
        <v>51.844827586206897</v>
      </c>
      <c r="P44" s="15">
        <f t="shared" si="5"/>
        <v>0</v>
      </c>
    </row>
    <row r="45" spans="1:16" x14ac:dyDescent="0.35">
      <c r="A45" s="15" t="s">
        <v>157</v>
      </c>
      <c r="B45" s="15" t="s">
        <v>106</v>
      </c>
      <c r="C45" s="15" t="s">
        <v>79</v>
      </c>
      <c r="D45" s="15" t="s">
        <v>54</v>
      </c>
      <c r="E45" s="15" t="s">
        <v>60</v>
      </c>
      <c r="F45" s="15">
        <v>1259</v>
      </c>
      <c r="G45" s="26"/>
      <c r="H45" s="15" t="s">
        <v>114</v>
      </c>
      <c r="I45" s="17">
        <v>44955</v>
      </c>
      <c r="J45" s="18">
        <f>IF(G45="",Assumptions!$B$3,G45)</f>
        <v>91.882978723404278</v>
      </c>
      <c r="K45" s="15" t="str">
        <f t="shared" si="3"/>
        <v>Yes</v>
      </c>
      <c r="L45" s="25" t="str">
        <f>INDEX(Vehicle_Master!$B$2:$B$8,MATCH(B45,Vehicle_Master!$A$2:$A$8,0))</f>
        <v>Mini-Truck</v>
      </c>
      <c r="M45" s="25">
        <f>INDEX(Vehicle_Master!$D$2:$D$8,MATCH(B45,Vehicle_Master!$A$2:$A$8,0))</f>
        <v>9033</v>
      </c>
      <c r="N45" s="18">
        <f t="shared" si="4"/>
        <v>13.702211416000923</v>
      </c>
      <c r="O45" s="18">
        <f>(Assumptions!$B$4+M45)/F45</f>
        <v>7.254169976171565</v>
      </c>
      <c r="P45" s="15">
        <f t="shared" si="5"/>
        <v>0</v>
      </c>
    </row>
    <row r="46" spans="1:16" x14ac:dyDescent="0.35">
      <c r="A46" s="15" t="s">
        <v>158</v>
      </c>
      <c r="B46" s="15" t="s">
        <v>118</v>
      </c>
      <c r="C46" s="15" t="s">
        <v>75</v>
      </c>
      <c r="D46" s="15" t="s">
        <v>57</v>
      </c>
      <c r="E46" s="15" t="s">
        <v>59</v>
      </c>
      <c r="F46" s="15">
        <v>1803</v>
      </c>
      <c r="G46" s="15">
        <v>211.34</v>
      </c>
      <c r="H46" s="15" t="s">
        <v>107</v>
      </c>
      <c r="I46" s="17">
        <v>44970</v>
      </c>
      <c r="J46" s="18">
        <f>IF(G46="",Assumptions!$B$3,G46)</f>
        <v>211.34</v>
      </c>
      <c r="K46" s="15" t="str">
        <f t="shared" si="3"/>
        <v>No</v>
      </c>
      <c r="L46" s="25" t="str">
        <f>INDEX(Vehicle_Master!$B$2:$B$8,MATCH(B46,Vehicle_Master!$A$2:$A$8,0))</f>
        <v>Truck</v>
      </c>
      <c r="M46" s="25">
        <f>INDEX(Vehicle_Master!$D$2:$D$8,MATCH(B46,Vehicle_Master!$A$2:$A$8,0))</f>
        <v>6776</v>
      </c>
      <c r="N46" s="18">
        <f t="shared" si="4"/>
        <v>8.5312766158796247</v>
      </c>
      <c r="O46" s="18">
        <f>(Assumptions!$B$4+M46)/F46</f>
        <v>3.8136439267886857</v>
      </c>
      <c r="P46" s="15">
        <f t="shared" si="5"/>
        <v>1</v>
      </c>
    </row>
    <row r="47" spans="1:16" x14ac:dyDescent="0.35">
      <c r="A47" s="15" t="s">
        <v>159</v>
      </c>
      <c r="B47" s="15" t="s">
        <v>106</v>
      </c>
      <c r="C47" s="15" t="s">
        <v>79</v>
      </c>
      <c r="D47" s="15" t="s">
        <v>59</v>
      </c>
      <c r="E47" s="15" t="s">
        <v>58</v>
      </c>
      <c r="F47" s="15">
        <v>1096</v>
      </c>
      <c r="G47" s="15">
        <v>100.52</v>
      </c>
      <c r="H47" s="15" t="s">
        <v>114</v>
      </c>
      <c r="I47" s="17">
        <v>44947</v>
      </c>
      <c r="J47" s="18">
        <f>IF(G47="",Assumptions!$B$3,G47)</f>
        <v>100.52</v>
      </c>
      <c r="K47" s="15" t="str">
        <f t="shared" si="3"/>
        <v>No</v>
      </c>
      <c r="L47" s="25" t="str">
        <f>INDEX(Vehicle_Master!$B$2:$B$8,MATCH(B47,Vehicle_Master!$A$2:$A$8,0))</f>
        <v>Mini-Truck</v>
      </c>
      <c r="M47" s="25">
        <f>INDEX(Vehicle_Master!$D$2:$D$8,MATCH(B47,Vehicle_Master!$A$2:$A$8,0))</f>
        <v>9033</v>
      </c>
      <c r="N47" s="18">
        <f t="shared" si="4"/>
        <v>10.903302825308396</v>
      </c>
      <c r="O47" s="18">
        <f>(Assumptions!$B$4+M47)/F47</f>
        <v>8.3330291970802914</v>
      </c>
      <c r="P47" s="15">
        <f t="shared" si="5"/>
        <v>0</v>
      </c>
    </row>
    <row r="48" spans="1:16" x14ac:dyDescent="0.35">
      <c r="A48" s="15" t="s">
        <v>160</v>
      </c>
      <c r="B48" s="15" t="s">
        <v>124</v>
      </c>
      <c r="C48" s="15" t="s">
        <v>78</v>
      </c>
      <c r="D48" s="15" t="s">
        <v>58</v>
      </c>
      <c r="E48" s="15" t="s">
        <v>54</v>
      </c>
      <c r="F48" s="15">
        <v>572</v>
      </c>
      <c r="G48" s="15">
        <v>61.6</v>
      </c>
      <c r="H48" s="15" t="s">
        <v>107</v>
      </c>
      <c r="I48" s="17">
        <v>44948</v>
      </c>
      <c r="J48" s="18">
        <f>IF(G48="",Assumptions!$B$3,G48)</f>
        <v>61.6</v>
      </c>
      <c r="K48" s="15" t="str">
        <f t="shared" si="3"/>
        <v>No</v>
      </c>
      <c r="L48" s="25" t="str">
        <f>INDEX(Vehicle_Master!$B$2:$B$8,MATCH(B48,Vehicle_Master!$A$2:$A$8,0))</f>
        <v>Truck</v>
      </c>
      <c r="M48" s="25">
        <f>INDEX(Vehicle_Master!$D$2:$D$8,MATCH(B48,Vehicle_Master!$A$2:$A$8,0))</f>
        <v>17751</v>
      </c>
      <c r="N48" s="18">
        <f t="shared" si="4"/>
        <v>9.2857142857142847</v>
      </c>
      <c r="O48" s="18">
        <f>(Assumptions!$B$4+M48)/F48</f>
        <v>31.208041958041957</v>
      </c>
      <c r="P48" s="15">
        <f t="shared" si="5"/>
        <v>1</v>
      </c>
    </row>
    <row r="49" spans="1:16" x14ac:dyDescent="0.35">
      <c r="A49" s="15" t="s">
        <v>161</v>
      </c>
      <c r="B49" s="15" t="s">
        <v>106</v>
      </c>
      <c r="C49" s="15" t="s">
        <v>73</v>
      </c>
      <c r="D49" s="15" t="s">
        <v>59</v>
      </c>
      <c r="E49" s="15" t="s">
        <v>56</v>
      </c>
      <c r="F49" s="15">
        <v>1441</v>
      </c>
      <c r="G49" s="15">
        <v>140.79</v>
      </c>
      <c r="H49" s="15" t="s">
        <v>114</v>
      </c>
      <c r="I49" s="17">
        <v>44985</v>
      </c>
      <c r="J49" s="18">
        <f>IF(G49="",Assumptions!$B$3,G49)</f>
        <v>140.79</v>
      </c>
      <c r="K49" s="15" t="str">
        <f t="shared" si="3"/>
        <v>No</v>
      </c>
      <c r="L49" s="25" t="str">
        <f>INDEX(Vehicle_Master!$B$2:$B$8,MATCH(B49,Vehicle_Master!$A$2:$A$8,0))</f>
        <v>Mini-Truck</v>
      </c>
      <c r="M49" s="25">
        <f>INDEX(Vehicle_Master!$D$2:$D$8,MATCH(B49,Vehicle_Master!$A$2:$A$8,0))</f>
        <v>9033</v>
      </c>
      <c r="N49" s="18">
        <f t="shared" si="4"/>
        <v>10.235101924852618</v>
      </c>
      <c r="O49" s="18">
        <f>(Assumptions!$B$4+M49)/F49</f>
        <v>6.337959750173491</v>
      </c>
      <c r="P49" s="15">
        <f t="shared" si="5"/>
        <v>0</v>
      </c>
    </row>
    <row r="50" spans="1:16" x14ac:dyDescent="0.35">
      <c r="A50" s="15" t="s">
        <v>162</v>
      </c>
      <c r="B50" s="15" t="s">
        <v>116</v>
      </c>
      <c r="C50" s="15" t="s">
        <v>76</v>
      </c>
      <c r="D50" s="15" t="s">
        <v>56</v>
      </c>
      <c r="E50" s="15" t="s">
        <v>60</v>
      </c>
      <c r="F50" s="15">
        <v>1685</v>
      </c>
      <c r="G50" s="15">
        <v>119.01</v>
      </c>
      <c r="H50" s="15" t="s">
        <v>114</v>
      </c>
      <c r="I50" s="17">
        <v>44973</v>
      </c>
      <c r="J50" s="18">
        <f>IF(G50="",Assumptions!$B$3,G50)</f>
        <v>119.01</v>
      </c>
      <c r="K50" s="15" t="str">
        <f t="shared" si="3"/>
        <v>No</v>
      </c>
      <c r="L50" s="25" t="str">
        <f>INDEX(Vehicle_Master!$B$2:$B$8,MATCH(B50,Vehicle_Master!$A$2:$A$8,0))</f>
        <v>Van</v>
      </c>
      <c r="M50" s="25">
        <f>INDEX(Vehicle_Master!$D$2:$D$8,MATCH(B50,Vehicle_Master!$A$2:$A$8,0))</f>
        <v>12837</v>
      </c>
      <c r="N50" s="18">
        <f t="shared" si="4"/>
        <v>14.158474077808586</v>
      </c>
      <c r="O50" s="18">
        <f>(Assumptions!$B$4+M50)/F50</f>
        <v>7.6777448071216616</v>
      </c>
      <c r="P50" s="15">
        <f t="shared" si="5"/>
        <v>0</v>
      </c>
    </row>
    <row r="51" spans="1:16" x14ac:dyDescent="0.35">
      <c r="A51" s="15" t="s">
        <v>163</v>
      </c>
      <c r="B51" s="15" t="s">
        <v>109</v>
      </c>
      <c r="C51" s="15" t="s">
        <v>75</v>
      </c>
      <c r="D51" s="15" t="s">
        <v>60</v>
      </c>
      <c r="E51" s="15" t="s">
        <v>54</v>
      </c>
      <c r="F51" s="15">
        <v>1233</v>
      </c>
      <c r="G51" s="15">
        <v>153.35</v>
      </c>
      <c r="H51" s="15" t="s">
        <v>107</v>
      </c>
      <c r="I51" s="17">
        <v>44938</v>
      </c>
      <c r="J51" s="18">
        <f>IF(G51="",Assumptions!$B$3,G51)</f>
        <v>153.35</v>
      </c>
      <c r="K51" s="15" t="str">
        <f t="shared" si="3"/>
        <v>No</v>
      </c>
      <c r="L51" s="25" t="str">
        <f>INDEX(Vehicle_Master!$B$2:$B$8,MATCH(B51,Vehicle_Master!$A$2:$A$8,0))</f>
        <v>Van</v>
      </c>
      <c r="M51" s="25">
        <f>INDEX(Vehicle_Master!$D$2:$D$8,MATCH(B51,Vehicle_Master!$A$2:$A$8,0))</f>
        <v>5914</v>
      </c>
      <c r="N51" s="18">
        <f t="shared" si="4"/>
        <v>8.0404303880013046</v>
      </c>
      <c r="O51" s="18">
        <f>(Assumptions!$B$4+M51)/F51</f>
        <v>4.8775344687753446</v>
      </c>
      <c r="P51" s="15">
        <f t="shared" si="5"/>
        <v>1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D8"/>
  <sheetViews>
    <sheetView zoomScaleNormal="100" workbookViewId="0">
      <pane ySplit="1" topLeftCell="A2" activePane="bottomLeft" state="frozen"/>
      <selection pane="bottomLeft" activeCell="H12" sqref="H12"/>
    </sheetView>
  </sheetViews>
  <sheetFormatPr defaultColWidth="8.6328125" defaultRowHeight="14.5" x14ac:dyDescent="0.35"/>
  <cols>
    <col min="1" max="4" width="18" customWidth="1"/>
  </cols>
  <sheetData>
    <row r="1" spans="1:4" x14ac:dyDescent="0.35">
      <c r="A1" s="13" t="s">
        <v>92</v>
      </c>
      <c r="B1" s="13" t="s">
        <v>100</v>
      </c>
      <c r="C1" s="13" t="s">
        <v>164</v>
      </c>
      <c r="D1" s="13" t="s">
        <v>101</v>
      </c>
    </row>
    <row r="2" spans="1:4" x14ac:dyDescent="0.35">
      <c r="A2" s="15" t="s">
        <v>141</v>
      </c>
      <c r="B2" s="15" t="s">
        <v>68</v>
      </c>
      <c r="C2" s="15">
        <v>8424</v>
      </c>
      <c r="D2" s="15">
        <v>5633</v>
      </c>
    </row>
    <row r="3" spans="1:4" x14ac:dyDescent="0.35">
      <c r="A3" s="15" t="s">
        <v>118</v>
      </c>
      <c r="B3" s="15" t="s">
        <v>69</v>
      </c>
      <c r="C3" s="15">
        <v>1970</v>
      </c>
      <c r="D3" s="15">
        <v>6776</v>
      </c>
    </row>
    <row r="4" spans="1:4" x14ac:dyDescent="0.35">
      <c r="A4" s="15" t="s">
        <v>151</v>
      </c>
      <c r="B4" s="15" t="s">
        <v>69</v>
      </c>
      <c r="C4" s="15">
        <v>1207</v>
      </c>
      <c r="D4" s="15">
        <v>18031</v>
      </c>
    </row>
    <row r="5" spans="1:4" x14ac:dyDescent="0.35">
      <c r="A5" s="15" t="s">
        <v>106</v>
      </c>
      <c r="B5" s="15" t="s">
        <v>67</v>
      </c>
      <c r="C5" s="15">
        <v>8803</v>
      </c>
      <c r="D5" s="15">
        <v>9033</v>
      </c>
    </row>
    <row r="6" spans="1:4" x14ac:dyDescent="0.35">
      <c r="A6" s="15" t="s">
        <v>124</v>
      </c>
      <c r="B6" s="15" t="s">
        <v>69</v>
      </c>
      <c r="C6" s="15">
        <v>9941</v>
      </c>
      <c r="D6" s="15">
        <v>17751</v>
      </c>
    </row>
    <row r="7" spans="1:4" x14ac:dyDescent="0.35">
      <c r="A7" s="15" t="s">
        <v>109</v>
      </c>
      <c r="B7" s="15" t="s">
        <v>68</v>
      </c>
      <c r="C7" s="15">
        <v>6053</v>
      </c>
      <c r="D7" s="15">
        <v>5914</v>
      </c>
    </row>
    <row r="8" spans="1:4" x14ac:dyDescent="0.35">
      <c r="A8" s="15" t="s">
        <v>116</v>
      </c>
      <c r="B8" s="15" t="s">
        <v>68</v>
      </c>
      <c r="C8" s="15">
        <v>2598</v>
      </c>
      <c r="D8" s="15">
        <v>12837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  <pageSetUpPr fitToPage="1"/>
  </sheetPr>
  <dimension ref="A1:C4"/>
  <sheetViews>
    <sheetView tabSelected="1" zoomScaleNormal="100" workbookViewId="0">
      <selection activeCell="C16" sqref="C16"/>
    </sheetView>
  </sheetViews>
  <sheetFormatPr defaultColWidth="8.6328125" defaultRowHeight="14.5" x14ac:dyDescent="0.35"/>
  <cols>
    <col min="1" max="1" width="38" customWidth="1"/>
    <col min="2" max="2" width="12" customWidth="1"/>
    <col min="3" max="3" width="80" customWidth="1"/>
  </cols>
  <sheetData>
    <row r="1" spans="1:3" ht="18" x14ac:dyDescent="0.4">
      <c r="A1" s="12" t="s">
        <v>165</v>
      </c>
    </row>
    <row r="2" spans="1:3" x14ac:dyDescent="0.35">
      <c r="A2" s="13" t="s">
        <v>166</v>
      </c>
      <c r="B2" s="13" t="s">
        <v>39</v>
      </c>
      <c r="C2" s="13" t="s">
        <v>167</v>
      </c>
    </row>
    <row r="3" spans="1:3" x14ac:dyDescent="0.35">
      <c r="A3" s="27" t="s">
        <v>168</v>
      </c>
      <c r="B3" s="28">
        <f>AVERAGE(Trip_Data!G2:G51)</f>
        <v>91.882978723404278</v>
      </c>
      <c r="C3" s="27" t="s">
        <v>169</v>
      </c>
    </row>
    <row r="4" spans="1:3" x14ac:dyDescent="0.35">
      <c r="A4" s="27" t="s">
        <v>170</v>
      </c>
      <c r="B4" s="29">
        <v>100</v>
      </c>
      <c r="C4" s="27" t="s">
        <v>171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Trip_Data </vt:lpstr>
      <vt:lpstr>Vehicle_Master </vt:lpstr>
      <vt:lpstr>README</vt:lpstr>
      <vt:lpstr>Dashboard</vt:lpstr>
      <vt:lpstr>Analysis</vt:lpstr>
      <vt:lpstr>Trip_Data</vt:lpstr>
      <vt:lpstr>Vehicle_Master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Selvi Vincent</cp:lastModifiedBy>
  <cp:revision>1</cp:revision>
  <dcterms:created xsi:type="dcterms:W3CDTF">2026-10-20T11:21:13Z</dcterms:created>
  <dcterms:modified xsi:type="dcterms:W3CDTF">2026-10-20T17:37:35Z</dcterms:modified>
  <dc:language>en-US</dc:language>
</cp:coreProperties>
</file>